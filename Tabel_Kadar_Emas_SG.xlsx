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TOKO MAS LIA\DOKUMEN\"/>
    </mc:Choice>
  </mc:AlternateContent>
  <xr:revisionPtr revIDLastSave="0" documentId="13_ncr:1_{49388631-4B95-47A3-B281-F885DDF3B4DF}" xr6:coauthVersionLast="47" xr6:coauthVersionMax="47" xr10:uidLastSave="{00000000-0000-0000-0000-000000000000}"/>
  <bookViews>
    <workbookView xWindow="-120" yWindow="-120" windowWidth="20730" windowHeight="11760" tabRatio="500" activeTab="4" xr2:uid="{00000000-000D-0000-FFFF-FFFF00000000}"/>
  </bookViews>
  <sheets>
    <sheet name="Ringkasan" sheetId="1" r:id="rId1"/>
    <sheet name="Konstanta" sheetId="2" r:id="rId2"/>
    <sheet name="Tabel Kadar Emas" sheetId="3" r:id="rId3"/>
    <sheet name="Kalkulator" sheetId="4" r:id="rId4"/>
    <sheet name="Sheet1" sheetId="5" r:id="rId5"/>
  </sheets>
  <definedNames>
    <definedName name="_xlnm.Print_Area" localSheetId="4">Sheet1!$T$1:$AK$51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K3" i="5" l="1"/>
  <c r="AK4" i="5"/>
  <c r="AK5" i="5"/>
  <c r="AK6" i="5"/>
  <c r="AK7" i="5"/>
  <c r="AK8" i="5"/>
  <c r="AK9" i="5"/>
  <c r="AK10" i="5"/>
  <c r="AK11" i="5"/>
  <c r="AK12" i="5"/>
  <c r="AK13" i="5"/>
  <c r="AK14" i="5"/>
  <c r="AK15" i="5"/>
  <c r="AK16" i="5"/>
  <c r="AK17" i="5"/>
  <c r="AK18" i="5"/>
  <c r="AK19" i="5"/>
  <c r="AK20" i="5"/>
  <c r="AK21" i="5"/>
  <c r="AK22" i="5"/>
  <c r="AK23" i="5"/>
  <c r="AK24" i="5"/>
  <c r="AK25" i="5"/>
  <c r="AK26" i="5"/>
  <c r="AK27" i="5"/>
  <c r="AK28" i="5"/>
  <c r="AK29" i="5"/>
  <c r="AK30" i="5"/>
  <c r="AK31" i="5"/>
  <c r="AK32" i="5"/>
  <c r="AK33" i="5"/>
  <c r="AK34" i="5"/>
  <c r="AK35" i="5"/>
  <c r="AK36" i="5"/>
  <c r="AK37" i="5"/>
  <c r="AK38" i="5"/>
  <c r="AK2" i="5"/>
  <c r="AI3" i="5"/>
  <c r="AI4" i="5"/>
  <c r="AI5" i="5"/>
  <c r="AI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19" i="5"/>
  <c r="AI20" i="5"/>
  <c r="AI21" i="5"/>
  <c r="AI22" i="5"/>
  <c r="AI23" i="5"/>
  <c r="AI24" i="5"/>
  <c r="AI25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2" i="5"/>
  <c r="AG3" i="5"/>
  <c r="AG4" i="5"/>
  <c r="AG5" i="5"/>
  <c r="AG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19" i="5"/>
  <c r="AG20" i="5"/>
  <c r="AG21" i="5"/>
  <c r="AG22" i="5"/>
  <c r="AG23" i="5"/>
  <c r="AG24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2" i="5"/>
  <c r="AE3" i="5"/>
  <c r="AE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17" i="5"/>
  <c r="AE18" i="5"/>
  <c r="AE19" i="5"/>
  <c r="AE20" i="5"/>
  <c r="AE21" i="5"/>
  <c r="AE22" i="5"/>
  <c r="AE23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2" i="5"/>
  <c r="AC3" i="5"/>
  <c r="AC4" i="5"/>
  <c r="AC5" i="5"/>
  <c r="AC6" i="5"/>
  <c r="AC7" i="5"/>
  <c r="AC8" i="5"/>
  <c r="AC9" i="5"/>
  <c r="AC10" i="5"/>
  <c r="AC11" i="5"/>
  <c r="AC12" i="5"/>
  <c r="AC13" i="5"/>
  <c r="AC14" i="5"/>
  <c r="AC15" i="5"/>
  <c r="AC16" i="5"/>
  <c r="AC17" i="5"/>
  <c r="AC18" i="5"/>
  <c r="AC19" i="5"/>
  <c r="AC20" i="5"/>
  <c r="AC21" i="5"/>
  <c r="AC22" i="5"/>
  <c r="AC23" i="5"/>
  <c r="AC24" i="5"/>
  <c r="AC25" i="5"/>
  <c r="AC26" i="5"/>
  <c r="AC27" i="5"/>
  <c r="AC28" i="5"/>
  <c r="AC29" i="5"/>
  <c r="AC30" i="5"/>
  <c r="AC31" i="5"/>
  <c r="AC32" i="5"/>
  <c r="AC33" i="5"/>
  <c r="AC34" i="5"/>
  <c r="AC35" i="5"/>
  <c r="AC36" i="5"/>
  <c r="AC37" i="5"/>
  <c r="AC38" i="5"/>
  <c r="AC39" i="5"/>
  <c r="AC40" i="5"/>
  <c r="AC41" i="5"/>
  <c r="AC42" i="5"/>
  <c r="AC43" i="5"/>
  <c r="AC44" i="5"/>
  <c r="AC45" i="5"/>
  <c r="AC46" i="5"/>
  <c r="AC47" i="5"/>
  <c r="AC48" i="5"/>
  <c r="AC49" i="5"/>
  <c r="AC50" i="5"/>
  <c r="AC51" i="5"/>
  <c r="AC2" i="5"/>
  <c r="AA3" i="5"/>
  <c r="AA4" i="5"/>
  <c r="AA5" i="5"/>
  <c r="AA6" i="5"/>
  <c r="AA7" i="5"/>
  <c r="AA8" i="5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2" i="5"/>
  <c r="Y3" i="5"/>
  <c r="Y4" i="5"/>
  <c r="Y5" i="5"/>
  <c r="Y6" i="5"/>
  <c r="Y7" i="5"/>
  <c r="Y8" i="5"/>
  <c r="Y9" i="5"/>
  <c r="Y10" i="5"/>
  <c r="Y11" i="5"/>
  <c r="Y12" i="5"/>
  <c r="Y13" i="5"/>
  <c r="Y14" i="5"/>
  <c r="Y15" i="5"/>
  <c r="Y16" i="5"/>
  <c r="Y17" i="5"/>
  <c r="Y18" i="5"/>
  <c r="Y19" i="5"/>
  <c r="Y20" i="5"/>
  <c r="Y21" i="5"/>
  <c r="Y22" i="5"/>
  <c r="Y23" i="5"/>
  <c r="Y24" i="5"/>
  <c r="Y25" i="5"/>
  <c r="Y26" i="5"/>
  <c r="Y27" i="5"/>
  <c r="Y28" i="5"/>
  <c r="Y29" i="5"/>
  <c r="Y30" i="5"/>
  <c r="Y31" i="5"/>
  <c r="Y32" i="5"/>
  <c r="Y33" i="5"/>
  <c r="Y34" i="5"/>
  <c r="Y35" i="5"/>
  <c r="Y36" i="5"/>
  <c r="Y37" i="5"/>
  <c r="Y38" i="5"/>
  <c r="Y39" i="5"/>
  <c r="Y40" i="5"/>
  <c r="Y41" i="5"/>
  <c r="Y42" i="5"/>
  <c r="Y43" i="5"/>
  <c r="Y44" i="5"/>
  <c r="Y45" i="5"/>
  <c r="Y46" i="5"/>
  <c r="Y47" i="5"/>
  <c r="Y48" i="5"/>
  <c r="Y49" i="5"/>
  <c r="Y50" i="5"/>
  <c r="Y51" i="5"/>
  <c r="Y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2" i="5"/>
  <c r="U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2" i="5"/>
  <c r="B8" i="4"/>
  <c r="B9" i="4"/>
  <c r="B889" i="3"/>
  <c r="C889" i="3" s="1"/>
  <c r="D889" i="3" s="1"/>
  <c r="C888" i="3"/>
  <c r="D888" i="3" s="1"/>
  <c r="B888" i="3"/>
  <c r="B887" i="3"/>
  <c r="C887" i="3" s="1"/>
  <c r="D887" i="3" s="1"/>
  <c r="B886" i="3"/>
  <c r="C886" i="3" s="1"/>
  <c r="D886" i="3" s="1"/>
  <c r="B885" i="3"/>
  <c r="C885" i="3" s="1"/>
  <c r="D885" i="3" s="1"/>
  <c r="C884" i="3"/>
  <c r="D884" i="3" s="1"/>
  <c r="B884" i="3"/>
  <c r="B883" i="3"/>
  <c r="C883" i="3" s="1"/>
  <c r="D883" i="3" s="1"/>
  <c r="C882" i="3"/>
  <c r="D882" i="3" s="1"/>
  <c r="B882" i="3"/>
  <c r="D881" i="3"/>
  <c r="B881" i="3"/>
  <c r="C881" i="3" s="1"/>
  <c r="D880" i="3"/>
  <c r="B880" i="3"/>
  <c r="C880" i="3" s="1"/>
  <c r="B879" i="3"/>
  <c r="C879" i="3" s="1"/>
  <c r="D879" i="3" s="1"/>
  <c r="C878" i="3"/>
  <c r="D878" i="3" s="1"/>
  <c r="B878" i="3"/>
  <c r="B877" i="3"/>
  <c r="C877" i="3" s="1"/>
  <c r="D877" i="3" s="1"/>
  <c r="B876" i="3"/>
  <c r="C876" i="3" s="1"/>
  <c r="D876" i="3" s="1"/>
  <c r="D875" i="3"/>
  <c r="C875" i="3"/>
  <c r="B875" i="3"/>
  <c r="B874" i="3"/>
  <c r="C874" i="3" s="1"/>
  <c r="D874" i="3" s="1"/>
  <c r="B873" i="3"/>
  <c r="C873" i="3" s="1"/>
  <c r="D873" i="3" s="1"/>
  <c r="B872" i="3"/>
  <c r="C872" i="3" s="1"/>
  <c r="D872" i="3" s="1"/>
  <c r="B871" i="3"/>
  <c r="C871" i="3" s="1"/>
  <c r="D871" i="3" s="1"/>
  <c r="B870" i="3"/>
  <c r="C870" i="3" s="1"/>
  <c r="D870" i="3" s="1"/>
  <c r="B869" i="3"/>
  <c r="C869" i="3" s="1"/>
  <c r="D869" i="3" s="1"/>
  <c r="D868" i="3"/>
  <c r="C868" i="3"/>
  <c r="B868" i="3"/>
  <c r="B867" i="3"/>
  <c r="C867" i="3" s="1"/>
  <c r="D867" i="3" s="1"/>
  <c r="D866" i="3"/>
  <c r="C866" i="3"/>
  <c r="B866" i="3"/>
  <c r="B865" i="3"/>
  <c r="C865" i="3" s="1"/>
  <c r="D865" i="3" s="1"/>
  <c r="B864" i="3"/>
  <c r="C864" i="3" s="1"/>
  <c r="D864" i="3" s="1"/>
  <c r="B863" i="3"/>
  <c r="C863" i="3" s="1"/>
  <c r="D863" i="3" s="1"/>
  <c r="C862" i="3"/>
  <c r="D862" i="3" s="1"/>
  <c r="B862" i="3"/>
  <c r="C861" i="3"/>
  <c r="D861" i="3" s="1"/>
  <c r="B861" i="3"/>
  <c r="C860" i="3"/>
  <c r="D860" i="3" s="1"/>
  <c r="B860" i="3"/>
  <c r="D859" i="3"/>
  <c r="C859" i="3"/>
  <c r="B859" i="3"/>
  <c r="B858" i="3"/>
  <c r="C858" i="3" s="1"/>
  <c r="D858" i="3" s="1"/>
  <c r="B857" i="3"/>
  <c r="C857" i="3" s="1"/>
  <c r="D857" i="3" s="1"/>
  <c r="B856" i="3"/>
  <c r="C856" i="3" s="1"/>
  <c r="D856" i="3" s="1"/>
  <c r="B855" i="3"/>
  <c r="C855" i="3" s="1"/>
  <c r="D855" i="3" s="1"/>
  <c r="B854" i="3"/>
  <c r="C854" i="3" s="1"/>
  <c r="D854" i="3" s="1"/>
  <c r="B853" i="3"/>
  <c r="C853" i="3" s="1"/>
  <c r="D853" i="3" s="1"/>
  <c r="C852" i="3"/>
  <c r="D852" i="3" s="1"/>
  <c r="B852" i="3"/>
  <c r="B851" i="3"/>
  <c r="C851" i="3" s="1"/>
  <c r="D851" i="3" s="1"/>
  <c r="B850" i="3"/>
  <c r="C850" i="3" s="1"/>
  <c r="D850" i="3" s="1"/>
  <c r="B849" i="3"/>
  <c r="C849" i="3" s="1"/>
  <c r="D849" i="3" s="1"/>
  <c r="B848" i="3"/>
  <c r="C848" i="3" s="1"/>
  <c r="D848" i="3" s="1"/>
  <c r="B847" i="3"/>
  <c r="C847" i="3" s="1"/>
  <c r="D847" i="3" s="1"/>
  <c r="C846" i="3"/>
  <c r="D846" i="3" s="1"/>
  <c r="B846" i="3"/>
  <c r="C845" i="3"/>
  <c r="D845" i="3" s="1"/>
  <c r="B845" i="3"/>
  <c r="B844" i="3"/>
  <c r="C844" i="3" s="1"/>
  <c r="D844" i="3" s="1"/>
  <c r="D843" i="3"/>
  <c r="C843" i="3"/>
  <c r="B843" i="3"/>
  <c r="B842" i="3"/>
  <c r="C842" i="3" s="1"/>
  <c r="D842" i="3" s="1"/>
  <c r="D841" i="3"/>
  <c r="B841" i="3"/>
  <c r="C841" i="3" s="1"/>
  <c r="B840" i="3"/>
  <c r="C840" i="3" s="1"/>
  <c r="D840" i="3" s="1"/>
  <c r="B839" i="3"/>
  <c r="C839" i="3" s="1"/>
  <c r="D839" i="3" s="1"/>
  <c r="B838" i="3"/>
  <c r="C838" i="3" s="1"/>
  <c r="D838" i="3" s="1"/>
  <c r="B837" i="3"/>
  <c r="C837" i="3" s="1"/>
  <c r="D837" i="3" s="1"/>
  <c r="D836" i="3"/>
  <c r="C836" i="3"/>
  <c r="B836" i="3"/>
  <c r="B835" i="3"/>
  <c r="C835" i="3" s="1"/>
  <c r="D835" i="3" s="1"/>
  <c r="B834" i="3"/>
  <c r="C834" i="3" s="1"/>
  <c r="D834" i="3" s="1"/>
  <c r="B833" i="3"/>
  <c r="C833" i="3" s="1"/>
  <c r="D833" i="3" s="1"/>
  <c r="B832" i="3"/>
  <c r="C832" i="3" s="1"/>
  <c r="D832" i="3" s="1"/>
  <c r="B831" i="3"/>
  <c r="C831" i="3" s="1"/>
  <c r="D831" i="3" s="1"/>
  <c r="C830" i="3"/>
  <c r="D830" i="3" s="1"/>
  <c r="B830" i="3"/>
  <c r="C829" i="3"/>
  <c r="D829" i="3" s="1"/>
  <c r="B829" i="3"/>
  <c r="C828" i="3"/>
  <c r="D828" i="3" s="1"/>
  <c r="B828" i="3"/>
  <c r="D827" i="3"/>
  <c r="C827" i="3"/>
  <c r="B827" i="3"/>
  <c r="B826" i="3"/>
  <c r="C826" i="3" s="1"/>
  <c r="D826" i="3" s="1"/>
  <c r="B825" i="3"/>
  <c r="C825" i="3" s="1"/>
  <c r="D825" i="3" s="1"/>
  <c r="B824" i="3"/>
  <c r="C824" i="3" s="1"/>
  <c r="D824" i="3" s="1"/>
  <c r="B823" i="3"/>
  <c r="C823" i="3" s="1"/>
  <c r="D823" i="3" s="1"/>
  <c r="B822" i="3"/>
  <c r="C822" i="3" s="1"/>
  <c r="D822" i="3" s="1"/>
  <c r="B821" i="3"/>
  <c r="C821" i="3" s="1"/>
  <c r="D821" i="3" s="1"/>
  <c r="C820" i="3"/>
  <c r="D820" i="3" s="1"/>
  <c r="B820" i="3"/>
  <c r="B819" i="3"/>
  <c r="C819" i="3" s="1"/>
  <c r="D819" i="3" s="1"/>
  <c r="B818" i="3"/>
  <c r="C818" i="3" s="1"/>
  <c r="D818" i="3" s="1"/>
  <c r="B817" i="3"/>
  <c r="C817" i="3" s="1"/>
  <c r="D817" i="3" s="1"/>
  <c r="B816" i="3"/>
  <c r="C816" i="3" s="1"/>
  <c r="D816" i="3" s="1"/>
  <c r="B815" i="3"/>
  <c r="C815" i="3" s="1"/>
  <c r="D815" i="3" s="1"/>
  <c r="C814" i="3"/>
  <c r="D814" i="3" s="1"/>
  <c r="B814" i="3"/>
  <c r="C813" i="3"/>
  <c r="D813" i="3" s="1"/>
  <c r="B813" i="3"/>
  <c r="B812" i="3"/>
  <c r="C812" i="3" s="1"/>
  <c r="D812" i="3" s="1"/>
  <c r="D811" i="3"/>
  <c r="C811" i="3"/>
  <c r="B811" i="3"/>
  <c r="D810" i="3"/>
  <c r="B810" i="3"/>
  <c r="C810" i="3" s="1"/>
  <c r="D809" i="3"/>
  <c r="B809" i="3"/>
  <c r="C809" i="3" s="1"/>
  <c r="B808" i="3"/>
  <c r="C808" i="3" s="1"/>
  <c r="D808" i="3" s="1"/>
  <c r="B807" i="3"/>
  <c r="C807" i="3" s="1"/>
  <c r="D807" i="3" s="1"/>
  <c r="B806" i="3"/>
  <c r="C806" i="3" s="1"/>
  <c r="D806" i="3" s="1"/>
  <c r="B805" i="3"/>
  <c r="C805" i="3" s="1"/>
  <c r="D805" i="3" s="1"/>
  <c r="D804" i="3"/>
  <c r="C804" i="3"/>
  <c r="B804" i="3"/>
  <c r="B803" i="3"/>
  <c r="C803" i="3" s="1"/>
  <c r="D803" i="3" s="1"/>
  <c r="B802" i="3"/>
  <c r="C802" i="3" s="1"/>
  <c r="D802" i="3" s="1"/>
  <c r="B801" i="3"/>
  <c r="C801" i="3" s="1"/>
  <c r="D801" i="3" s="1"/>
  <c r="B800" i="3"/>
  <c r="C800" i="3" s="1"/>
  <c r="D800" i="3" s="1"/>
  <c r="B799" i="3"/>
  <c r="C799" i="3" s="1"/>
  <c r="D799" i="3" s="1"/>
  <c r="C798" i="3"/>
  <c r="D798" i="3" s="1"/>
  <c r="B798" i="3"/>
  <c r="C797" i="3"/>
  <c r="D797" i="3" s="1"/>
  <c r="B797" i="3"/>
  <c r="C796" i="3"/>
  <c r="D796" i="3" s="1"/>
  <c r="B796" i="3"/>
  <c r="D795" i="3"/>
  <c r="C795" i="3"/>
  <c r="B795" i="3"/>
  <c r="B794" i="3"/>
  <c r="C794" i="3" s="1"/>
  <c r="D794" i="3" s="1"/>
  <c r="B793" i="3"/>
  <c r="C793" i="3" s="1"/>
  <c r="D793" i="3" s="1"/>
  <c r="B792" i="3"/>
  <c r="C792" i="3" s="1"/>
  <c r="D792" i="3" s="1"/>
  <c r="B791" i="3"/>
  <c r="C791" i="3" s="1"/>
  <c r="D791" i="3" s="1"/>
  <c r="B790" i="3"/>
  <c r="C790" i="3" s="1"/>
  <c r="D790" i="3" s="1"/>
  <c r="B789" i="3"/>
  <c r="C789" i="3" s="1"/>
  <c r="D789" i="3" s="1"/>
  <c r="D788" i="3"/>
  <c r="C788" i="3"/>
  <c r="B788" i="3"/>
  <c r="B787" i="3"/>
  <c r="C787" i="3" s="1"/>
  <c r="D787" i="3" s="1"/>
  <c r="B786" i="3"/>
  <c r="C786" i="3" s="1"/>
  <c r="D786" i="3" s="1"/>
  <c r="B785" i="3"/>
  <c r="C785" i="3" s="1"/>
  <c r="D785" i="3" s="1"/>
  <c r="B784" i="3"/>
  <c r="C784" i="3" s="1"/>
  <c r="D784" i="3" s="1"/>
  <c r="B783" i="3"/>
  <c r="C783" i="3" s="1"/>
  <c r="D783" i="3" s="1"/>
  <c r="C782" i="3"/>
  <c r="D782" i="3" s="1"/>
  <c r="B782" i="3"/>
  <c r="C781" i="3"/>
  <c r="D781" i="3" s="1"/>
  <c r="B781" i="3"/>
  <c r="B780" i="3"/>
  <c r="C780" i="3" s="1"/>
  <c r="D780" i="3" s="1"/>
  <c r="D779" i="3"/>
  <c r="C779" i="3"/>
  <c r="B779" i="3"/>
  <c r="B778" i="3"/>
  <c r="C778" i="3" s="1"/>
  <c r="D778" i="3" s="1"/>
  <c r="D777" i="3"/>
  <c r="B777" i="3"/>
  <c r="C777" i="3" s="1"/>
  <c r="B776" i="3"/>
  <c r="C776" i="3" s="1"/>
  <c r="D776" i="3" s="1"/>
  <c r="B775" i="3"/>
  <c r="C775" i="3" s="1"/>
  <c r="D775" i="3" s="1"/>
  <c r="B774" i="3"/>
  <c r="C774" i="3" s="1"/>
  <c r="D774" i="3" s="1"/>
  <c r="B773" i="3"/>
  <c r="C773" i="3" s="1"/>
  <c r="D773" i="3" s="1"/>
  <c r="D772" i="3"/>
  <c r="C772" i="3"/>
  <c r="B772" i="3"/>
  <c r="B771" i="3"/>
  <c r="C771" i="3" s="1"/>
  <c r="D771" i="3" s="1"/>
  <c r="B770" i="3"/>
  <c r="C770" i="3" s="1"/>
  <c r="D770" i="3" s="1"/>
  <c r="B769" i="3"/>
  <c r="C769" i="3" s="1"/>
  <c r="D769" i="3" s="1"/>
  <c r="B768" i="3"/>
  <c r="C768" i="3" s="1"/>
  <c r="D768" i="3" s="1"/>
  <c r="B767" i="3"/>
  <c r="C767" i="3" s="1"/>
  <c r="D767" i="3" s="1"/>
  <c r="C766" i="3"/>
  <c r="D766" i="3" s="1"/>
  <c r="B766" i="3"/>
  <c r="C765" i="3"/>
  <c r="D765" i="3" s="1"/>
  <c r="B765" i="3"/>
  <c r="C764" i="3"/>
  <c r="D764" i="3" s="1"/>
  <c r="B764" i="3"/>
  <c r="D763" i="3"/>
  <c r="C763" i="3"/>
  <c r="B763" i="3"/>
  <c r="B762" i="3"/>
  <c r="C762" i="3" s="1"/>
  <c r="D762" i="3" s="1"/>
  <c r="B761" i="3"/>
  <c r="C761" i="3" s="1"/>
  <c r="D761" i="3" s="1"/>
  <c r="B760" i="3"/>
  <c r="C760" i="3" s="1"/>
  <c r="D760" i="3" s="1"/>
  <c r="B759" i="3"/>
  <c r="C759" i="3" s="1"/>
  <c r="D759" i="3" s="1"/>
  <c r="B758" i="3"/>
  <c r="C758" i="3" s="1"/>
  <c r="D758" i="3" s="1"/>
  <c r="B757" i="3"/>
  <c r="C757" i="3" s="1"/>
  <c r="D757" i="3" s="1"/>
  <c r="D756" i="3"/>
  <c r="C756" i="3"/>
  <c r="B756" i="3"/>
  <c r="B755" i="3"/>
  <c r="C755" i="3" s="1"/>
  <c r="D755" i="3" s="1"/>
  <c r="B754" i="3"/>
  <c r="C754" i="3" s="1"/>
  <c r="D754" i="3" s="1"/>
  <c r="B753" i="3"/>
  <c r="C753" i="3" s="1"/>
  <c r="D753" i="3" s="1"/>
  <c r="B752" i="3"/>
  <c r="C752" i="3" s="1"/>
  <c r="D752" i="3" s="1"/>
  <c r="B751" i="3"/>
  <c r="C751" i="3" s="1"/>
  <c r="D751" i="3" s="1"/>
  <c r="C750" i="3"/>
  <c r="D750" i="3" s="1"/>
  <c r="B750" i="3"/>
  <c r="C749" i="3"/>
  <c r="D749" i="3" s="1"/>
  <c r="B749" i="3"/>
  <c r="B748" i="3"/>
  <c r="C748" i="3" s="1"/>
  <c r="D748" i="3" s="1"/>
  <c r="D747" i="3"/>
  <c r="C747" i="3"/>
  <c r="B747" i="3"/>
  <c r="D746" i="3"/>
  <c r="B746" i="3"/>
  <c r="C746" i="3" s="1"/>
  <c r="D745" i="3"/>
  <c r="B745" i="3"/>
  <c r="C745" i="3" s="1"/>
  <c r="B744" i="3"/>
  <c r="C744" i="3" s="1"/>
  <c r="D744" i="3" s="1"/>
  <c r="B743" i="3"/>
  <c r="C743" i="3" s="1"/>
  <c r="D743" i="3" s="1"/>
  <c r="B742" i="3"/>
  <c r="C742" i="3" s="1"/>
  <c r="D742" i="3" s="1"/>
  <c r="C741" i="3"/>
  <c r="D741" i="3" s="1"/>
  <c r="B741" i="3"/>
  <c r="C740" i="3"/>
  <c r="D740" i="3" s="1"/>
  <c r="B740" i="3"/>
  <c r="B739" i="3"/>
  <c r="C739" i="3" s="1"/>
  <c r="D739" i="3" s="1"/>
  <c r="C738" i="3"/>
  <c r="D738" i="3" s="1"/>
  <c r="B738" i="3"/>
  <c r="C737" i="3"/>
  <c r="D737" i="3" s="1"/>
  <c r="B737" i="3"/>
  <c r="B736" i="3"/>
  <c r="C736" i="3" s="1"/>
  <c r="D736" i="3" s="1"/>
  <c r="D735" i="3"/>
  <c r="C735" i="3"/>
  <c r="B735" i="3"/>
  <c r="C734" i="3"/>
  <c r="D734" i="3" s="1"/>
  <c r="B734" i="3"/>
  <c r="B733" i="3"/>
  <c r="C733" i="3" s="1"/>
  <c r="D733" i="3" s="1"/>
  <c r="C732" i="3"/>
  <c r="D732" i="3" s="1"/>
  <c r="B732" i="3"/>
  <c r="C731" i="3"/>
  <c r="D731" i="3" s="1"/>
  <c r="B731" i="3"/>
  <c r="B730" i="3"/>
  <c r="C730" i="3" s="1"/>
  <c r="D730" i="3" s="1"/>
  <c r="D729" i="3"/>
  <c r="B729" i="3"/>
  <c r="C729" i="3" s="1"/>
  <c r="B728" i="3"/>
  <c r="C728" i="3" s="1"/>
  <c r="D728" i="3" s="1"/>
  <c r="B727" i="3"/>
  <c r="C727" i="3" s="1"/>
  <c r="D727" i="3" s="1"/>
  <c r="B726" i="3"/>
  <c r="C726" i="3" s="1"/>
  <c r="D726" i="3" s="1"/>
  <c r="B725" i="3"/>
  <c r="C725" i="3" s="1"/>
  <c r="D725" i="3" s="1"/>
  <c r="C724" i="3"/>
  <c r="D724" i="3" s="1"/>
  <c r="B724" i="3"/>
  <c r="B723" i="3"/>
  <c r="C723" i="3" s="1"/>
  <c r="D723" i="3" s="1"/>
  <c r="B722" i="3"/>
  <c r="C722" i="3" s="1"/>
  <c r="D722" i="3" s="1"/>
  <c r="B721" i="3"/>
  <c r="C721" i="3" s="1"/>
  <c r="D721" i="3" s="1"/>
  <c r="C720" i="3"/>
  <c r="D720" i="3" s="1"/>
  <c r="B720" i="3"/>
  <c r="C719" i="3"/>
  <c r="D719" i="3" s="1"/>
  <c r="B719" i="3"/>
  <c r="C718" i="3"/>
  <c r="D718" i="3" s="1"/>
  <c r="B718" i="3"/>
  <c r="B717" i="3"/>
  <c r="C717" i="3" s="1"/>
  <c r="D717" i="3" s="1"/>
  <c r="B716" i="3"/>
  <c r="C716" i="3" s="1"/>
  <c r="D716" i="3" s="1"/>
  <c r="B715" i="3"/>
  <c r="C715" i="3" s="1"/>
  <c r="D715" i="3" s="1"/>
  <c r="C714" i="3"/>
  <c r="D714" i="3" s="1"/>
  <c r="B714" i="3"/>
  <c r="B713" i="3"/>
  <c r="C713" i="3" s="1"/>
  <c r="D713" i="3" s="1"/>
  <c r="B712" i="3"/>
  <c r="C712" i="3" s="1"/>
  <c r="D712" i="3" s="1"/>
  <c r="B711" i="3"/>
  <c r="C711" i="3" s="1"/>
  <c r="D711" i="3" s="1"/>
  <c r="D710" i="3"/>
  <c r="C710" i="3"/>
  <c r="B710" i="3"/>
  <c r="B709" i="3"/>
  <c r="C709" i="3" s="1"/>
  <c r="D709" i="3" s="1"/>
  <c r="D708" i="3"/>
  <c r="C708" i="3"/>
  <c r="B708" i="3"/>
  <c r="D707" i="3"/>
  <c r="B707" i="3"/>
  <c r="C707" i="3" s="1"/>
  <c r="B706" i="3"/>
  <c r="C706" i="3" s="1"/>
  <c r="D706" i="3" s="1"/>
  <c r="B705" i="3"/>
  <c r="C705" i="3" s="1"/>
  <c r="D705" i="3" s="1"/>
  <c r="B704" i="3"/>
  <c r="C704" i="3" s="1"/>
  <c r="D704" i="3" s="1"/>
  <c r="B703" i="3"/>
  <c r="C703" i="3" s="1"/>
  <c r="D703" i="3" s="1"/>
  <c r="C702" i="3"/>
  <c r="D702" i="3" s="1"/>
  <c r="B702" i="3"/>
  <c r="C701" i="3"/>
  <c r="D701" i="3" s="1"/>
  <c r="B701" i="3"/>
  <c r="B700" i="3"/>
  <c r="C700" i="3" s="1"/>
  <c r="D700" i="3" s="1"/>
  <c r="B699" i="3"/>
  <c r="C699" i="3" s="1"/>
  <c r="D699" i="3" s="1"/>
  <c r="B698" i="3"/>
  <c r="C698" i="3" s="1"/>
  <c r="D698" i="3" s="1"/>
  <c r="B697" i="3"/>
  <c r="C697" i="3" s="1"/>
  <c r="D697" i="3" s="1"/>
  <c r="B696" i="3"/>
  <c r="C696" i="3" s="1"/>
  <c r="D696" i="3" s="1"/>
  <c r="C695" i="3"/>
  <c r="D695" i="3" s="1"/>
  <c r="B695" i="3"/>
  <c r="C694" i="3"/>
  <c r="D694" i="3" s="1"/>
  <c r="B694" i="3"/>
  <c r="B693" i="3"/>
  <c r="C693" i="3" s="1"/>
  <c r="D693" i="3" s="1"/>
  <c r="D692" i="3"/>
  <c r="C692" i="3"/>
  <c r="B692" i="3"/>
  <c r="D691" i="3"/>
  <c r="B691" i="3"/>
  <c r="C691" i="3" s="1"/>
  <c r="C690" i="3"/>
  <c r="D690" i="3" s="1"/>
  <c r="B690" i="3"/>
  <c r="D689" i="3"/>
  <c r="C689" i="3"/>
  <c r="B689" i="3"/>
  <c r="B688" i="3"/>
  <c r="C688" i="3" s="1"/>
  <c r="D688" i="3" s="1"/>
  <c r="B687" i="3"/>
  <c r="C687" i="3" s="1"/>
  <c r="D687" i="3" s="1"/>
  <c r="C686" i="3"/>
  <c r="D686" i="3" s="1"/>
  <c r="B686" i="3"/>
  <c r="C685" i="3"/>
  <c r="D685" i="3" s="1"/>
  <c r="B685" i="3"/>
  <c r="C684" i="3"/>
  <c r="D684" i="3" s="1"/>
  <c r="B684" i="3"/>
  <c r="D683" i="3"/>
  <c r="C683" i="3"/>
  <c r="B683" i="3"/>
  <c r="B682" i="3"/>
  <c r="C682" i="3" s="1"/>
  <c r="D682" i="3" s="1"/>
  <c r="B681" i="3"/>
  <c r="C681" i="3" s="1"/>
  <c r="D681" i="3" s="1"/>
  <c r="B680" i="3"/>
  <c r="C680" i="3" s="1"/>
  <c r="D680" i="3" s="1"/>
  <c r="B679" i="3"/>
  <c r="C679" i="3" s="1"/>
  <c r="D679" i="3" s="1"/>
  <c r="B678" i="3"/>
  <c r="C678" i="3" s="1"/>
  <c r="D678" i="3" s="1"/>
  <c r="C677" i="3"/>
  <c r="D677" i="3" s="1"/>
  <c r="B677" i="3"/>
  <c r="C676" i="3"/>
  <c r="D676" i="3" s="1"/>
  <c r="B676" i="3"/>
  <c r="D675" i="3"/>
  <c r="B675" i="3"/>
  <c r="C675" i="3" s="1"/>
  <c r="C674" i="3"/>
  <c r="D674" i="3" s="1"/>
  <c r="B674" i="3"/>
  <c r="C673" i="3"/>
  <c r="D673" i="3" s="1"/>
  <c r="B673" i="3"/>
  <c r="C672" i="3"/>
  <c r="D672" i="3" s="1"/>
  <c r="B672" i="3"/>
  <c r="D671" i="3"/>
  <c r="C671" i="3"/>
  <c r="B671" i="3"/>
  <c r="C670" i="3"/>
  <c r="D670" i="3" s="1"/>
  <c r="B670" i="3"/>
  <c r="C669" i="3"/>
  <c r="D669" i="3" s="1"/>
  <c r="B669" i="3"/>
  <c r="C668" i="3"/>
  <c r="D668" i="3" s="1"/>
  <c r="B668" i="3"/>
  <c r="C667" i="3"/>
  <c r="D667" i="3" s="1"/>
  <c r="B667" i="3"/>
  <c r="C666" i="3"/>
  <c r="D666" i="3" s="1"/>
  <c r="B666" i="3"/>
  <c r="D665" i="3"/>
  <c r="B665" i="3"/>
  <c r="C665" i="3" s="1"/>
  <c r="B664" i="3"/>
  <c r="C664" i="3" s="1"/>
  <c r="D664" i="3" s="1"/>
  <c r="B663" i="3"/>
  <c r="C663" i="3" s="1"/>
  <c r="D663" i="3" s="1"/>
  <c r="B662" i="3"/>
  <c r="C662" i="3" s="1"/>
  <c r="D662" i="3" s="1"/>
  <c r="B661" i="3"/>
  <c r="C661" i="3" s="1"/>
  <c r="D661" i="3" s="1"/>
  <c r="C660" i="3"/>
  <c r="D660" i="3" s="1"/>
  <c r="B660" i="3"/>
  <c r="B659" i="3"/>
  <c r="C659" i="3" s="1"/>
  <c r="D659" i="3" s="1"/>
  <c r="B658" i="3"/>
  <c r="C658" i="3" s="1"/>
  <c r="D658" i="3" s="1"/>
  <c r="C657" i="3"/>
  <c r="D657" i="3" s="1"/>
  <c r="B657" i="3"/>
  <c r="C656" i="3"/>
  <c r="D656" i="3" s="1"/>
  <c r="B656" i="3"/>
  <c r="C655" i="3"/>
  <c r="D655" i="3" s="1"/>
  <c r="B655" i="3"/>
  <c r="C654" i="3"/>
  <c r="D654" i="3" s="1"/>
  <c r="B654" i="3"/>
  <c r="B653" i="3"/>
  <c r="C653" i="3" s="1"/>
  <c r="D653" i="3" s="1"/>
  <c r="B652" i="3"/>
  <c r="C652" i="3" s="1"/>
  <c r="D652" i="3" s="1"/>
  <c r="C651" i="3"/>
  <c r="D651" i="3" s="1"/>
  <c r="B651" i="3"/>
  <c r="C650" i="3"/>
  <c r="D650" i="3" s="1"/>
  <c r="B650" i="3"/>
  <c r="B649" i="3"/>
  <c r="C649" i="3" s="1"/>
  <c r="D649" i="3" s="1"/>
  <c r="B648" i="3"/>
  <c r="C648" i="3" s="1"/>
  <c r="D648" i="3" s="1"/>
  <c r="C647" i="3"/>
  <c r="D647" i="3" s="1"/>
  <c r="B647" i="3"/>
  <c r="D646" i="3"/>
  <c r="C646" i="3"/>
  <c r="B646" i="3"/>
  <c r="B645" i="3"/>
  <c r="C645" i="3" s="1"/>
  <c r="D645" i="3" s="1"/>
  <c r="C644" i="3"/>
  <c r="D644" i="3" s="1"/>
  <c r="B644" i="3"/>
  <c r="D643" i="3"/>
  <c r="B643" i="3"/>
  <c r="C643" i="3" s="1"/>
  <c r="B642" i="3"/>
  <c r="C642" i="3" s="1"/>
  <c r="D642" i="3" s="1"/>
  <c r="B641" i="3"/>
  <c r="C641" i="3" s="1"/>
  <c r="D641" i="3" s="1"/>
  <c r="B640" i="3"/>
  <c r="C640" i="3" s="1"/>
  <c r="D640" i="3" s="1"/>
  <c r="C639" i="3"/>
  <c r="D639" i="3" s="1"/>
  <c r="B639" i="3"/>
  <c r="C638" i="3"/>
  <c r="D638" i="3" s="1"/>
  <c r="B638" i="3"/>
  <c r="C637" i="3"/>
  <c r="D637" i="3" s="1"/>
  <c r="B637" i="3"/>
  <c r="B636" i="3"/>
  <c r="C636" i="3" s="1"/>
  <c r="D636" i="3" s="1"/>
  <c r="B635" i="3"/>
  <c r="C635" i="3" s="1"/>
  <c r="D635" i="3" s="1"/>
  <c r="B634" i="3"/>
  <c r="C634" i="3" s="1"/>
  <c r="D634" i="3" s="1"/>
  <c r="B633" i="3"/>
  <c r="C633" i="3" s="1"/>
  <c r="D633" i="3" s="1"/>
  <c r="B632" i="3"/>
  <c r="C632" i="3" s="1"/>
  <c r="D632" i="3" s="1"/>
  <c r="C631" i="3"/>
  <c r="D631" i="3" s="1"/>
  <c r="B631" i="3"/>
  <c r="C630" i="3"/>
  <c r="D630" i="3" s="1"/>
  <c r="B630" i="3"/>
  <c r="C629" i="3"/>
  <c r="D629" i="3" s="1"/>
  <c r="B629" i="3"/>
  <c r="D628" i="3"/>
  <c r="C628" i="3"/>
  <c r="B628" i="3"/>
  <c r="D627" i="3"/>
  <c r="B627" i="3"/>
  <c r="C627" i="3" s="1"/>
  <c r="B626" i="3"/>
  <c r="C626" i="3" s="1"/>
  <c r="D626" i="3" s="1"/>
  <c r="D625" i="3"/>
  <c r="C625" i="3"/>
  <c r="B625" i="3"/>
  <c r="B624" i="3"/>
  <c r="C624" i="3" s="1"/>
  <c r="D624" i="3" s="1"/>
  <c r="B623" i="3"/>
  <c r="C623" i="3" s="1"/>
  <c r="D623" i="3" s="1"/>
  <c r="C622" i="3"/>
  <c r="D622" i="3" s="1"/>
  <c r="B622" i="3"/>
  <c r="C621" i="3"/>
  <c r="D621" i="3" s="1"/>
  <c r="B621" i="3"/>
  <c r="B620" i="3"/>
  <c r="C620" i="3" s="1"/>
  <c r="D620" i="3" s="1"/>
  <c r="D619" i="3"/>
  <c r="C619" i="3"/>
  <c r="B619" i="3"/>
  <c r="B618" i="3"/>
  <c r="C618" i="3" s="1"/>
  <c r="D618" i="3" s="1"/>
  <c r="D617" i="3"/>
  <c r="B617" i="3"/>
  <c r="C617" i="3" s="1"/>
  <c r="B616" i="3"/>
  <c r="C616" i="3" s="1"/>
  <c r="D616" i="3" s="1"/>
  <c r="B615" i="3"/>
  <c r="C615" i="3" s="1"/>
  <c r="D615" i="3" s="1"/>
  <c r="C614" i="3"/>
  <c r="D614" i="3" s="1"/>
  <c r="B614" i="3"/>
  <c r="C613" i="3"/>
  <c r="D613" i="3" s="1"/>
  <c r="B613" i="3"/>
  <c r="C612" i="3"/>
  <c r="D612" i="3" s="1"/>
  <c r="B612" i="3"/>
  <c r="B611" i="3"/>
  <c r="C611" i="3" s="1"/>
  <c r="D611" i="3" s="1"/>
  <c r="C610" i="3"/>
  <c r="D610" i="3" s="1"/>
  <c r="B610" i="3"/>
  <c r="C609" i="3"/>
  <c r="D609" i="3" s="1"/>
  <c r="B609" i="3"/>
  <c r="B608" i="3"/>
  <c r="C608" i="3" s="1"/>
  <c r="D608" i="3" s="1"/>
  <c r="D607" i="3"/>
  <c r="C607" i="3"/>
  <c r="B607" i="3"/>
  <c r="C606" i="3"/>
  <c r="D606" i="3" s="1"/>
  <c r="B606" i="3"/>
  <c r="B605" i="3"/>
  <c r="C605" i="3" s="1"/>
  <c r="D605" i="3" s="1"/>
  <c r="C604" i="3"/>
  <c r="D604" i="3" s="1"/>
  <c r="B604" i="3"/>
  <c r="C603" i="3"/>
  <c r="D603" i="3" s="1"/>
  <c r="B603" i="3"/>
  <c r="B602" i="3"/>
  <c r="C602" i="3" s="1"/>
  <c r="D602" i="3" s="1"/>
  <c r="D601" i="3"/>
  <c r="B601" i="3"/>
  <c r="C601" i="3" s="1"/>
  <c r="B600" i="3"/>
  <c r="C600" i="3" s="1"/>
  <c r="D600" i="3" s="1"/>
  <c r="B599" i="3"/>
  <c r="C599" i="3" s="1"/>
  <c r="D599" i="3" s="1"/>
  <c r="B598" i="3"/>
  <c r="C598" i="3" s="1"/>
  <c r="D598" i="3" s="1"/>
  <c r="B597" i="3"/>
  <c r="C597" i="3" s="1"/>
  <c r="D597" i="3" s="1"/>
  <c r="C596" i="3"/>
  <c r="D596" i="3" s="1"/>
  <c r="B596" i="3"/>
  <c r="B595" i="3"/>
  <c r="C595" i="3" s="1"/>
  <c r="D595" i="3" s="1"/>
  <c r="B594" i="3"/>
  <c r="C594" i="3" s="1"/>
  <c r="D594" i="3" s="1"/>
  <c r="B593" i="3"/>
  <c r="C593" i="3" s="1"/>
  <c r="D593" i="3" s="1"/>
  <c r="C592" i="3"/>
  <c r="D592" i="3" s="1"/>
  <c r="B592" i="3"/>
  <c r="C591" i="3"/>
  <c r="D591" i="3" s="1"/>
  <c r="B591" i="3"/>
  <c r="C590" i="3"/>
  <c r="D590" i="3" s="1"/>
  <c r="B590" i="3"/>
  <c r="B589" i="3"/>
  <c r="C589" i="3" s="1"/>
  <c r="D589" i="3" s="1"/>
  <c r="B588" i="3"/>
  <c r="C588" i="3" s="1"/>
  <c r="D588" i="3" s="1"/>
  <c r="B587" i="3"/>
  <c r="C587" i="3" s="1"/>
  <c r="D587" i="3" s="1"/>
  <c r="C586" i="3"/>
  <c r="D586" i="3" s="1"/>
  <c r="B586" i="3"/>
  <c r="B585" i="3"/>
  <c r="C585" i="3" s="1"/>
  <c r="D585" i="3" s="1"/>
  <c r="B584" i="3"/>
  <c r="C584" i="3" s="1"/>
  <c r="D584" i="3" s="1"/>
  <c r="B583" i="3"/>
  <c r="C583" i="3" s="1"/>
  <c r="D583" i="3" s="1"/>
  <c r="D582" i="3"/>
  <c r="C582" i="3"/>
  <c r="B582" i="3"/>
  <c r="D581" i="3"/>
  <c r="B581" i="3"/>
  <c r="C581" i="3" s="1"/>
  <c r="D580" i="3"/>
  <c r="C580" i="3"/>
  <c r="B580" i="3"/>
  <c r="D579" i="3"/>
  <c r="B579" i="3"/>
  <c r="C579" i="3" s="1"/>
  <c r="B578" i="3"/>
  <c r="C578" i="3" s="1"/>
  <c r="D578" i="3" s="1"/>
  <c r="B577" i="3"/>
  <c r="C577" i="3" s="1"/>
  <c r="D577" i="3" s="1"/>
  <c r="B576" i="3"/>
  <c r="C576" i="3" s="1"/>
  <c r="D576" i="3" s="1"/>
  <c r="B575" i="3"/>
  <c r="C575" i="3" s="1"/>
  <c r="D575" i="3" s="1"/>
  <c r="C574" i="3"/>
  <c r="D574" i="3" s="1"/>
  <c r="B574" i="3"/>
  <c r="C573" i="3"/>
  <c r="D573" i="3" s="1"/>
  <c r="B573" i="3"/>
  <c r="B572" i="3"/>
  <c r="C572" i="3" s="1"/>
  <c r="D572" i="3" s="1"/>
  <c r="B571" i="3"/>
  <c r="C571" i="3" s="1"/>
  <c r="D571" i="3" s="1"/>
  <c r="B570" i="3"/>
  <c r="C570" i="3" s="1"/>
  <c r="D570" i="3" s="1"/>
  <c r="B569" i="3"/>
  <c r="C569" i="3" s="1"/>
  <c r="D569" i="3" s="1"/>
  <c r="B568" i="3"/>
  <c r="C568" i="3" s="1"/>
  <c r="D568" i="3" s="1"/>
  <c r="C567" i="3"/>
  <c r="D567" i="3" s="1"/>
  <c r="B567" i="3"/>
  <c r="C566" i="3"/>
  <c r="D566" i="3" s="1"/>
  <c r="B566" i="3"/>
  <c r="B565" i="3"/>
  <c r="C565" i="3" s="1"/>
  <c r="D565" i="3" s="1"/>
  <c r="D564" i="3"/>
  <c r="C564" i="3"/>
  <c r="B564" i="3"/>
  <c r="D563" i="3"/>
  <c r="B563" i="3"/>
  <c r="C563" i="3" s="1"/>
  <c r="C562" i="3"/>
  <c r="D562" i="3" s="1"/>
  <c r="B562" i="3"/>
  <c r="D561" i="3"/>
  <c r="C561" i="3"/>
  <c r="B561" i="3"/>
  <c r="B560" i="3"/>
  <c r="C560" i="3" s="1"/>
  <c r="D560" i="3" s="1"/>
  <c r="B559" i="3"/>
  <c r="C559" i="3" s="1"/>
  <c r="D559" i="3" s="1"/>
  <c r="C558" i="3"/>
  <c r="D558" i="3" s="1"/>
  <c r="B558" i="3"/>
  <c r="C557" i="3"/>
  <c r="D557" i="3" s="1"/>
  <c r="B557" i="3"/>
  <c r="C556" i="3"/>
  <c r="D556" i="3" s="1"/>
  <c r="B556" i="3"/>
  <c r="D555" i="3"/>
  <c r="C555" i="3"/>
  <c r="B555" i="3"/>
  <c r="B554" i="3"/>
  <c r="C554" i="3" s="1"/>
  <c r="D554" i="3" s="1"/>
  <c r="B553" i="3"/>
  <c r="C553" i="3" s="1"/>
  <c r="D553" i="3" s="1"/>
  <c r="B552" i="3"/>
  <c r="C552" i="3" s="1"/>
  <c r="D552" i="3" s="1"/>
  <c r="B551" i="3"/>
  <c r="C551" i="3" s="1"/>
  <c r="D551" i="3" s="1"/>
  <c r="B550" i="3"/>
  <c r="C550" i="3" s="1"/>
  <c r="D550" i="3" s="1"/>
  <c r="C549" i="3"/>
  <c r="D549" i="3" s="1"/>
  <c r="B549" i="3"/>
  <c r="C548" i="3"/>
  <c r="D548" i="3" s="1"/>
  <c r="B548" i="3"/>
  <c r="D547" i="3"/>
  <c r="B547" i="3"/>
  <c r="C547" i="3" s="1"/>
  <c r="C546" i="3"/>
  <c r="D546" i="3" s="1"/>
  <c r="B546" i="3"/>
  <c r="C545" i="3"/>
  <c r="D545" i="3" s="1"/>
  <c r="B545" i="3"/>
  <c r="C544" i="3"/>
  <c r="D544" i="3" s="1"/>
  <c r="B544" i="3"/>
  <c r="D543" i="3"/>
  <c r="C543" i="3"/>
  <c r="B543" i="3"/>
  <c r="C542" i="3"/>
  <c r="D542" i="3" s="1"/>
  <c r="B542" i="3"/>
  <c r="C541" i="3"/>
  <c r="D541" i="3" s="1"/>
  <c r="B541" i="3"/>
  <c r="C540" i="3"/>
  <c r="D540" i="3" s="1"/>
  <c r="B540" i="3"/>
  <c r="C539" i="3"/>
  <c r="D539" i="3" s="1"/>
  <c r="B539" i="3"/>
  <c r="C538" i="3"/>
  <c r="D538" i="3" s="1"/>
  <c r="B538" i="3"/>
  <c r="D537" i="3"/>
  <c r="B537" i="3"/>
  <c r="C537" i="3" s="1"/>
  <c r="B536" i="3"/>
  <c r="C536" i="3" s="1"/>
  <c r="D536" i="3" s="1"/>
  <c r="B535" i="3"/>
  <c r="C535" i="3" s="1"/>
  <c r="D535" i="3" s="1"/>
  <c r="B534" i="3"/>
  <c r="C534" i="3" s="1"/>
  <c r="D534" i="3" s="1"/>
  <c r="B533" i="3"/>
  <c r="C533" i="3" s="1"/>
  <c r="D533" i="3" s="1"/>
  <c r="C532" i="3"/>
  <c r="D532" i="3" s="1"/>
  <c r="B532" i="3"/>
  <c r="B531" i="3"/>
  <c r="C531" i="3" s="1"/>
  <c r="D531" i="3" s="1"/>
  <c r="B530" i="3"/>
  <c r="C530" i="3" s="1"/>
  <c r="D530" i="3" s="1"/>
  <c r="C529" i="3"/>
  <c r="D529" i="3" s="1"/>
  <c r="B529" i="3"/>
  <c r="C528" i="3"/>
  <c r="D528" i="3" s="1"/>
  <c r="B528" i="3"/>
  <c r="C527" i="3"/>
  <c r="D527" i="3" s="1"/>
  <c r="B527" i="3"/>
  <c r="C526" i="3"/>
  <c r="D526" i="3" s="1"/>
  <c r="B526" i="3"/>
  <c r="B525" i="3"/>
  <c r="C525" i="3" s="1"/>
  <c r="D525" i="3" s="1"/>
  <c r="B524" i="3"/>
  <c r="C524" i="3" s="1"/>
  <c r="D524" i="3" s="1"/>
  <c r="C523" i="3"/>
  <c r="D523" i="3" s="1"/>
  <c r="B523" i="3"/>
  <c r="C522" i="3"/>
  <c r="D522" i="3" s="1"/>
  <c r="B522" i="3"/>
  <c r="B521" i="3"/>
  <c r="C521" i="3" s="1"/>
  <c r="D521" i="3" s="1"/>
  <c r="B520" i="3"/>
  <c r="C520" i="3" s="1"/>
  <c r="D520" i="3" s="1"/>
  <c r="C519" i="3"/>
  <c r="D519" i="3" s="1"/>
  <c r="B519" i="3"/>
  <c r="D518" i="3"/>
  <c r="C518" i="3"/>
  <c r="B518" i="3"/>
  <c r="B517" i="3"/>
  <c r="C517" i="3" s="1"/>
  <c r="D517" i="3" s="1"/>
  <c r="C516" i="3"/>
  <c r="D516" i="3" s="1"/>
  <c r="B516" i="3"/>
  <c r="D515" i="3"/>
  <c r="B515" i="3"/>
  <c r="C515" i="3" s="1"/>
  <c r="D514" i="3"/>
  <c r="B514" i="3"/>
  <c r="C514" i="3" s="1"/>
  <c r="B513" i="3"/>
  <c r="C513" i="3" s="1"/>
  <c r="D513" i="3" s="1"/>
  <c r="B512" i="3"/>
  <c r="C512" i="3" s="1"/>
  <c r="D512" i="3" s="1"/>
  <c r="C511" i="3"/>
  <c r="D511" i="3" s="1"/>
  <c r="B511" i="3"/>
  <c r="C510" i="3"/>
  <c r="D510" i="3" s="1"/>
  <c r="B510" i="3"/>
  <c r="C509" i="3"/>
  <c r="D509" i="3" s="1"/>
  <c r="B509" i="3"/>
  <c r="D508" i="3"/>
  <c r="B508" i="3"/>
  <c r="C508" i="3" s="1"/>
  <c r="B507" i="3"/>
  <c r="C507" i="3" s="1"/>
  <c r="D507" i="3" s="1"/>
  <c r="B506" i="3"/>
  <c r="C506" i="3" s="1"/>
  <c r="D506" i="3" s="1"/>
  <c r="B505" i="3"/>
  <c r="C505" i="3" s="1"/>
  <c r="D505" i="3" s="1"/>
  <c r="B504" i="3"/>
  <c r="C504" i="3" s="1"/>
  <c r="D504" i="3" s="1"/>
  <c r="C503" i="3"/>
  <c r="D503" i="3" s="1"/>
  <c r="B503" i="3"/>
  <c r="C502" i="3"/>
  <c r="D502" i="3" s="1"/>
  <c r="B502" i="3"/>
  <c r="C501" i="3"/>
  <c r="D501" i="3" s="1"/>
  <c r="B501" i="3"/>
  <c r="D500" i="3"/>
  <c r="C500" i="3"/>
  <c r="B500" i="3"/>
  <c r="D499" i="3"/>
  <c r="B499" i="3"/>
  <c r="C499" i="3" s="1"/>
  <c r="B498" i="3"/>
  <c r="C498" i="3" s="1"/>
  <c r="D498" i="3" s="1"/>
  <c r="C497" i="3"/>
  <c r="D497" i="3" s="1"/>
  <c r="B497" i="3"/>
  <c r="B496" i="3"/>
  <c r="C496" i="3" s="1"/>
  <c r="D496" i="3" s="1"/>
  <c r="B495" i="3"/>
  <c r="C495" i="3" s="1"/>
  <c r="D495" i="3" s="1"/>
  <c r="C494" i="3"/>
  <c r="D494" i="3" s="1"/>
  <c r="B494" i="3"/>
  <c r="C493" i="3"/>
  <c r="D493" i="3" s="1"/>
  <c r="B493" i="3"/>
  <c r="B492" i="3"/>
  <c r="C492" i="3" s="1"/>
  <c r="D492" i="3" s="1"/>
  <c r="C491" i="3"/>
  <c r="D491" i="3" s="1"/>
  <c r="B491" i="3"/>
  <c r="D490" i="3"/>
  <c r="B490" i="3"/>
  <c r="C490" i="3" s="1"/>
  <c r="D489" i="3"/>
  <c r="B489" i="3"/>
  <c r="C489" i="3" s="1"/>
  <c r="B488" i="3"/>
  <c r="C488" i="3" s="1"/>
  <c r="D488" i="3" s="1"/>
  <c r="B487" i="3"/>
  <c r="C487" i="3" s="1"/>
  <c r="D487" i="3" s="1"/>
  <c r="C486" i="3"/>
  <c r="D486" i="3" s="1"/>
  <c r="B486" i="3"/>
  <c r="C485" i="3"/>
  <c r="D485" i="3" s="1"/>
  <c r="B485" i="3"/>
  <c r="C484" i="3"/>
  <c r="D484" i="3" s="1"/>
  <c r="B484" i="3"/>
  <c r="B483" i="3"/>
  <c r="C483" i="3" s="1"/>
  <c r="D483" i="3" s="1"/>
  <c r="C482" i="3"/>
  <c r="D482" i="3" s="1"/>
  <c r="B482" i="3"/>
  <c r="C481" i="3"/>
  <c r="D481" i="3" s="1"/>
  <c r="B481" i="3"/>
  <c r="B480" i="3"/>
  <c r="C480" i="3" s="1"/>
  <c r="D480" i="3" s="1"/>
  <c r="C479" i="3"/>
  <c r="D479" i="3" s="1"/>
  <c r="B479" i="3"/>
  <c r="C478" i="3"/>
  <c r="D478" i="3" s="1"/>
  <c r="B478" i="3"/>
  <c r="B477" i="3"/>
  <c r="C477" i="3" s="1"/>
  <c r="D477" i="3" s="1"/>
  <c r="C476" i="3"/>
  <c r="D476" i="3" s="1"/>
  <c r="B476" i="3"/>
  <c r="C475" i="3"/>
  <c r="D475" i="3" s="1"/>
  <c r="B475" i="3"/>
  <c r="B474" i="3"/>
  <c r="C474" i="3" s="1"/>
  <c r="D474" i="3" s="1"/>
  <c r="B473" i="3"/>
  <c r="C473" i="3" s="1"/>
  <c r="D473" i="3" s="1"/>
  <c r="B472" i="3"/>
  <c r="C472" i="3" s="1"/>
  <c r="D472" i="3" s="1"/>
  <c r="B471" i="3"/>
  <c r="C471" i="3" s="1"/>
  <c r="D471" i="3" s="1"/>
  <c r="B470" i="3"/>
  <c r="C470" i="3" s="1"/>
  <c r="D470" i="3" s="1"/>
  <c r="B469" i="3"/>
  <c r="C469" i="3" s="1"/>
  <c r="D469" i="3" s="1"/>
  <c r="C468" i="3"/>
  <c r="D468" i="3" s="1"/>
  <c r="B468" i="3"/>
  <c r="B467" i="3"/>
  <c r="C467" i="3" s="1"/>
  <c r="D467" i="3" s="1"/>
  <c r="B466" i="3"/>
  <c r="C466" i="3" s="1"/>
  <c r="D466" i="3" s="1"/>
  <c r="B465" i="3"/>
  <c r="C465" i="3" s="1"/>
  <c r="D465" i="3" s="1"/>
  <c r="C464" i="3"/>
  <c r="D464" i="3" s="1"/>
  <c r="B464" i="3"/>
  <c r="C463" i="3"/>
  <c r="D463" i="3" s="1"/>
  <c r="B463" i="3"/>
  <c r="C462" i="3"/>
  <c r="D462" i="3" s="1"/>
  <c r="B462" i="3"/>
  <c r="B461" i="3"/>
  <c r="C461" i="3" s="1"/>
  <c r="D461" i="3" s="1"/>
  <c r="B460" i="3"/>
  <c r="C460" i="3" s="1"/>
  <c r="D460" i="3" s="1"/>
  <c r="B459" i="3"/>
  <c r="C459" i="3" s="1"/>
  <c r="D459" i="3" s="1"/>
  <c r="C458" i="3"/>
  <c r="D458" i="3" s="1"/>
  <c r="B458" i="3"/>
  <c r="B457" i="3"/>
  <c r="C457" i="3" s="1"/>
  <c r="D457" i="3" s="1"/>
  <c r="B456" i="3"/>
  <c r="C456" i="3" s="1"/>
  <c r="D456" i="3" s="1"/>
  <c r="B455" i="3"/>
  <c r="C455" i="3" s="1"/>
  <c r="D455" i="3" s="1"/>
  <c r="C454" i="3"/>
  <c r="D454" i="3" s="1"/>
  <c r="B454" i="3"/>
  <c r="D453" i="3"/>
  <c r="B453" i="3"/>
  <c r="C453" i="3" s="1"/>
  <c r="D452" i="3"/>
  <c r="C452" i="3"/>
  <c r="B452" i="3"/>
  <c r="D451" i="3"/>
  <c r="B451" i="3"/>
  <c r="C451" i="3" s="1"/>
  <c r="B450" i="3"/>
  <c r="C450" i="3" s="1"/>
  <c r="D450" i="3" s="1"/>
  <c r="B449" i="3"/>
  <c r="C449" i="3" s="1"/>
  <c r="D449" i="3" s="1"/>
  <c r="B448" i="3"/>
  <c r="C448" i="3" s="1"/>
  <c r="D448" i="3" s="1"/>
  <c r="B447" i="3"/>
  <c r="C447" i="3" s="1"/>
  <c r="D447" i="3" s="1"/>
  <c r="C446" i="3"/>
  <c r="D446" i="3" s="1"/>
  <c r="B446" i="3"/>
  <c r="C445" i="3"/>
  <c r="D445" i="3" s="1"/>
  <c r="B445" i="3"/>
  <c r="B444" i="3"/>
  <c r="C444" i="3" s="1"/>
  <c r="D444" i="3" s="1"/>
  <c r="B443" i="3"/>
  <c r="C443" i="3" s="1"/>
  <c r="D443" i="3" s="1"/>
  <c r="B442" i="3"/>
  <c r="C442" i="3" s="1"/>
  <c r="D442" i="3" s="1"/>
  <c r="B441" i="3"/>
  <c r="C441" i="3" s="1"/>
  <c r="D441" i="3" s="1"/>
  <c r="B440" i="3"/>
  <c r="C440" i="3" s="1"/>
  <c r="D440" i="3" s="1"/>
  <c r="C439" i="3"/>
  <c r="D439" i="3" s="1"/>
  <c r="B439" i="3"/>
  <c r="C438" i="3"/>
  <c r="D438" i="3" s="1"/>
  <c r="B438" i="3"/>
  <c r="B437" i="3"/>
  <c r="C437" i="3" s="1"/>
  <c r="D437" i="3" s="1"/>
  <c r="C436" i="3"/>
  <c r="D436" i="3" s="1"/>
  <c r="B436" i="3"/>
  <c r="D435" i="3"/>
  <c r="B435" i="3"/>
  <c r="C435" i="3" s="1"/>
  <c r="C434" i="3"/>
  <c r="D434" i="3" s="1"/>
  <c r="B434" i="3"/>
  <c r="D433" i="3"/>
  <c r="C433" i="3"/>
  <c r="B433" i="3"/>
  <c r="B432" i="3"/>
  <c r="C432" i="3" s="1"/>
  <c r="D432" i="3" s="1"/>
  <c r="B431" i="3"/>
  <c r="C431" i="3" s="1"/>
  <c r="D431" i="3" s="1"/>
  <c r="C430" i="3"/>
  <c r="D430" i="3" s="1"/>
  <c r="B430" i="3"/>
  <c r="C429" i="3"/>
  <c r="D429" i="3" s="1"/>
  <c r="B429" i="3"/>
  <c r="C428" i="3"/>
  <c r="D428" i="3" s="1"/>
  <c r="B428" i="3"/>
  <c r="D427" i="3"/>
  <c r="C427" i="3"/>
  <c r="B427" i="3"/>
  <c r="B426" i="3"/>
  <c r="C426" i="3" s="1"/>
  <c r="D426" i="3" s="1"/>
  <c r="B425" i="3"/>
  <c r="C425" i="3" s="1"/>
  <c r="D425" i="3" s="1"/>
  <c r="B424" i="3"/>
  <c r="C424" i="3" s="1"/>
  <c r="D424" i="3" s="1"/>
  <c r="B423" i="3"/>
  <c r="C423" i="3" s="1"/>
  <c r="D423" i="3" s="1"/>
  <c r="B422" i="3"/>
  <c r="C422" i="3" s="1"/>
  <c r="D422" i="3" s="1"/>
  <c r="C421" i="3"/>
  <c r="D421" i="3" s="1"/>
  <c r="B421" i="3"/>
  <c r="C420" i="3"/>
  <c r="D420" i="3" s="1"/>
  <c r="B420" i="3"/>
  <c r="D419" i="3"/>
  <c r="B419" i="3"/>
  <c r="C419" i="3" s="1"/>
  <c r="C418" i="3"/>
  <c r="D418" i="3" s="1"/>
  <c r="B418" i="3"/>
  <c r="C417" i="3"/>
  <c r="D417" i="3" s="1"/>
  <c r="B417" i="3"/>
  <c r="C416" i="3"/>
  <c r="D416" i="3" s="1"/>
  <c r="B416" i="3"/>
  <c r="D415" i="3"/>
  <c r="C415" i="3"/>
  <c r="B415" i="3"/>
  <c r="C414" i="3"/>
  <c r="D414" i="3" s="1"/>
  <c r="B414" i="3"/>
  <c r="C413" i="3"/>
  <c r="D413" i="3" s="1"/>
  <c r="B413" i="3"/>
  <c r="B412" i="3"/>
  <c r="C412" i="3" s="1"/>
  <c r="D412" i="3" s="1"/>
  <c r="C411" i="3"/>
  <c r="D411" i="3" s="1"/>
  <c r="B411" i="3"/>
  <c r="C410" i="3"/>
  <c r="D410" i="3" s="1"/>
  <c r="B410" i="3"/>
  <c r="D409" i="3"/>
  <c r="B409" i="3"/>
  <c r="C409" i="3" s="1"/>
  <c r="B408" i="3"/>
  <c r="C408" i="3" s="1"/>
  <c r="D408" i="3" s="1"/>
  <c r="B407" i="3"/>
  <c r="C407" i="3" s="1"/>
  <c r="D407" i="3" s="1"/>
  <c r="B406" i="3"/>
  <c r="C406" i="3" s="1"/>
  <c r="D406" i="3" s="1"/>
  <c r="D405" i="3"/>
  <c r="B405" i="3"/>
  <c r="C405" i="3" s="1"/>
  <c r="C404" i="3"/>
  <c r="D404" i="3" s="1"/>
  <c r="B404" i="3"/>
  <c r="B403" i="3"/>
  <c r="C403" i="3" s="1"/>
  <c r="D403" i="3" s="1"/>
  <c r="B402" i="3"/>
  <c r="C402" i="3" s="1"/>
  <c r="D402" i="3" s="1"/>
  <c r="C401" i="3"/>
  <c r="D401" i="3" s="1"/>
  <c r="B401" i="3"/>
  <c r="C400" i="3"/>
  <c r="D400" i="3" s="1"/>
  <c r="B400" i="3"/>
  <c r="C399" i="3"/>
  <c r="D399" i="3" s="1"/>
  <c r="B399" i="3"/>
  <c r="C398" i="3"/>
  <c r="D398" i="3" s="1"/>
  <c r="B398" i="3"/>
  <c r="C397" i="3"/>
  <c r="D397" i="3" s="1"/>
  <c r="B397" i="3"/>
  <c r="C396" i="3"/>
  <c r="D396" i="3" s="1"/>
  <c r="B396" i="3"/>
  <c r="B395" i="3"/>
  <c r="C395" i="3" s="1"/>
  <c r="D395" i="3" s="1"/>
  <c r="D394" i="3"/>
  <c r="C394" i="3"/>
  <c r="B394" i="3"/>
  <c r="D393" i="3"/>
  <c r="B393" i="3"/>
  <c r="C393" i="3" s="1"/>
  <c r="B392" i="3"/>
  <c r="C392" i="3" s="1"/>
  <c r="D392" i="3" s="1"/>
  <c r="C391" i="3"/>
  <c r="D391" i="3" s="1"/>
  <c r="B391" i="3"/>
  <c r="C390" i="3"/>
  <c r="D390" i="3" s="1"/>
  <c r="B390" i="3"/>
  <c r="D389" i="3"/>
  <c r="B389" i="3"/>
  <c r="C389" i="3" s="1"/>
  <c r="D388" i="3"/>
  <c r="C388" i="3"/>
  <c r="B388" i="3"/>
  <c r="D387" i="3"/>
  <c r="B387" i="3"/>
  <c r="C387" i="3" s="1"/>
  <c r="C386" i="3"/>
  <c r="D386" i="3" s="1"/>
  <c r="B386" i="3"/>
  <c r="D385" i="3"/>
  <c r="C385" i="3"/>
  <c r="B385" i="3"/>
  <c r="B384" i="3"/>
  <c r="C384" i="3" s="1"/>
  <c r="D384" i="3" s="1"/>
  <c r="B383" i="3"/>
  <c r="C383" i="3" s="1"/>
  <c r="D383" i="3" s="1"/>
  <c r="C382" i="3"/>
  <c r="D382" i="3" s="1"/>
  <c r="B382" i="3"/>
  <c r="D381" i="3"/>
  <c r="B381" i="3"/>
  <c r="C381" i="3" s="1"/>
  <c r="B380" i="3"/>
  <c r="C380" i="3" s="1"/>
  <c r="D380" i="3" s="1"/>
  <c r="B379" i="3"/>
  <c r="C379" i="3" s="1"/>
  <c r="D379" i="3" s="1"/>
  <c r="C378" i="3"/>
  <c r="D378" i="3" s="1"/>
  <c r="B378" i="3"/>
  <c r="B377" i="3"/>
  <c r="C377" i="3" s="1"/>
  <c r="D377" i="3" s="1"/>
  <c r="C376" i="3"/>
  <c r="D376" i="3" s="1"/>
  <c r="B376" i="3"/>
  <c r="B375" i="3"/>
  <c r="C375" i="3" s="1"/>
  <c r="D375" i="3" s="1"/>
  <c r="B374" i="3"/>
  <c r="C374" i="3" s="1"/>
  <c r="D374" i="3" s="1"/>
  <c r="B373" i="3"/>
  <c r="C373" i="3" s="1"/>
  <c r="D373" i="3" s="1"/>
  <c r="C372" i="3"/>
  <c r="D372" i="3" s="1"/>
  <c r="B372" i="3"/>
  <c r="B371" i="3"/>
  <c r="C371" i="3" s="1"/>
  <c r="D371" i="3" s="1"/>
  <c r="D370" i="3"/>
  <c r="B370" i="3"/>
  <c r="C370" i="3" s="1"/>
  <c r="B369" i="3"/>
  <c r="C369" i="3" s="1"/>
  <c r="D369" i="3" s="1"/>
  <c r="C368" i="3"/>
  <c r="D368" i="3" s="1"/>
  <c r="B368" i="3"/>
  <c r="C367" i="3"/>
  <c r="D367" i="3" s="1"/>
  <c r="B367" i="3"/>
  <c r="C366" i="3"/>
  <c r="D366" i="3" s="1"/>
  <c r="B366" i="3"/>
  <c r="B365" i="3"/>
  <c r="C365" i="3" s="1"/>
  <c r="D365" i="3" s="1"/>
  <c r="C364" i="3"/>
  <c r="D364" i="3" s="1"/>
  <c r="B364" i="3"/>
  <c r="C363" i="3"/>
  <c r="D363" i="3" s="1"/>
  <c r="B363" i="3"/>
  <c r="D362" i="3"/>
  <c r="C362" i="3"/>
  <c r="B362" i="3"/>
  <c r="D361" i="3"/>
  <c r="B361" i="3"/>
  <c r="C361" i="3" s="1"/>
  <c r="C360" i="3"/>
  <c r="D360" i="3" s="1"/>
  <c r="B360" i="3"/>
  <c r="C359" i="3"/>
  <c r="D359" i="3" s="1"/>
  <c r="B359" i="3"/>
  <c r="C358" i="3"/>
  <c r="D358" i="3" s="1"/>
  <c r="B358" i="3"/>
  <c r="C357" i="3"/>
  <c r="D357" i="3" s="1"/>
  <c r="B357" i="3"/>
  <c r="D356" i="3"/>
  <c r="C356" i="3"/>
  <c r="B356" i="3"/>
  <c r="D355" i="3"/>
  <c r="B355" i="3"/>
  <c r="C355" i="3" s="1"/>
  <c r="B354" i="3"/>
  <c r="C354" i="3" s="1"/>
  <c r="D354" i="3" s="1"/>
  <c r="C353" i="3"/>
  <c r="D353" i="3" s="1"/>
  <c r="B353" i="3"/>
  <c r="D352" i="3"/>
  <c r="B352" i="3"/>
  <c r="C352" i="3" s="1"/>
  <c r="B351" i="3"/>
  <c r="C351" i="3" s="1"/>
  <c r="D351" i="3" s="1"/>
  <c r="C350" i="3"/>
  <c r="D350" i="3" s="1"/>
  <c r="B350" i="3"/>
  <c r="B349" i="3"/>
  <c r="C349" i="3" s="1"/>
  <c r="D349" i="3" s="1"/>
  <c r="B348" i="3"/>
  <c r="C348" i="3" s="1"/>
  <c r="D348" i="3" s="1"/>
  <c r="D347" i="3"/>
  <c r="B347" i="3"/>
  <c r="C347" i="3" s="1"/>
  <c r="B346" i="3"/>
  <c r="C346" i="3" s="1"/>
  <c r="D346" i="3" s="1"/>
  <c r="B345" i="3"/>
  <c r="C345" i="3" s="1"/>
  <c r="D345" i="3" s="1"/>
  <c r="C344" i="3"/>
  <c r="D344" i="3" s="1"/>
  <c r="B344" i="3"/>
  <c r="B343" i="3"/>
  <c r="C343" i="3" s="1"/>
  <c r="D343" i="3" s="1"/>
  <c r="B342" i="3"/>
  <c r="C342" i="3" s="1"/>
  <c r="D342" i="3" s="1"/>
  <c r="B341" i="3"/>
  <c r="C341" i="3" s="1"/>
  <c r="D341" i="3" s="1"/>
  <c r="C340" i="3"/>
  <c r="D340" i="3" s="1"/>
  <c r="B340" i="3"/>
  <c r="B339" i="3"/>
  <c r="C339" i="3" s="1"/>
  <c r="D339" i="3" s="1"/>
  <c r="B338" i="3"/>
  <c r="C338" i="3" s="1"/>
  <c r="D338" i="3" s="1"/>
  <c r="C337" i="3"/>
  <c r="D337" i="3" s="1"/>
  <c r="B337" i="3"/>
  <c r="C336" i="3"/>
  <c r="D336" i="3" s="1"/>
  <c r="B336" i="3"/>
  <c r="C335" i="3"/>
  <c r="D335" i="3" s="1"/>
  <c r="B335" i="3"/>
  <c r="C334" i="3"/>
  <c r="D334" i="3" s="1"/>
  <c r="B334" i="3"/>
  <c r="C333" i="3"/>
  <c r="D333" i="3" s="1"/>
  <c r="B333" i="3"/>
  <c r="C332" i="3"/>
  <c r="D332" i="3" s="1"/>
  <c r="B332" i="3"/>
  <c r="D331" i="3"/>
  <c r="B331" i="3"/>
  <c r="C331" i="3" s="1"/>
  <c r="C330" i="3"/>
  <c r="D330" i="3" s="1"/>
  <c r="B330" i="3"/>
  <c r="D329" i="3"/>
  <c r="B329" i="3"/>
  <c r="C329" i="3" s="1"/>
  <c r="B328" i="3"/>
  <c r="C328" i="3" s="1"/>
  <c r="D328" i="3" s="1"/>
  <c r="C327" i="3"/>
  <c r="D327" i="3" s="1"/>
  <c r="B327" i="3"/>
  <c r="C326" i="3"/>
  <c r="D326" i="3" s="1"/>
  <c r="B326" i="3"/>
  <c r="D325" i="3"/>
  <c r="B325" i="3"/>
  <c r="C325" i="3" s="1"/>
  <c r="D324" i="3"/>
  <c r="C324" i="3"/>
  <c r="B324" i="3"/>
  <c r="D323" i="3"/>
  <c r="B323" i="3"/>
  <c r="C323" i="3" s="1"/>
  <c r="C322" i="3"/>
  <c r="D322" i="3" s="1"/>
  <c r="B322" i="3"/>
  <c r="C321" i="3"/>
  <c r="D321" i="3" s="1"/>
  <c r="B321" i="3"/>
  <c r="D320" i="3"/>
  <c r="B320" i="3"/>
  <c r="C320" i="3" s="1"/>
  <c r="B319" i="3"/>
  <c r="C319" i="3" s="1"/>
  <c r="D319" i="3" s="1"/>
  <c r="C318" i="3"/>
  <c r="D318" i="3" s="1"/>
  <c r="B318" i="3"/>
  <c r="D317" i="3"/>
  <c r="B317" i="3"/>
  <c r="C317" i="3" s="1"/>
  <c r="B316" i="3"/>
  <c r="C316" i="3" s="1"/>
  <c r="D316" i="3" s="1"/>
  <c r="B315" i="3"/>
  <c r="C315" i="3" s="1"/>
  <c r="D315" i="3" s="1"/>
  <c r="C314" i="3"/>
  <c r="D314" i="3" s="1"/>
  <c r="B314" i="3"/>
  <c r="B313" i="3"/>
  <c r="C313" i="3" s="1"/>
  <c r="D313" i="3" s="1"/>
  <c r="C312" i="3"/>
  <c r="D312" i="3" s="1"/>
  <c r="B312" i="3"/>
  <c r="B311" i="3"/>
  <c r="C311" i="3" s="1"/>
  <c r="D311" i="3" s="1"/>
  <c r="B310" i="3"/>
  <c r="C310" i="3" s="1"/>
  <c r="D310" i="3" s="1"/>
  <c r="D309" i="3"/>
  <c r="B309" i="3"/>
  <c r="C309" i="3" s="1"/>
  <c r="C308" i="3"/>
  <c r="D308" i="3" s="1"/>
  <c r="B308" i="3"/>
  <c r="D307" i="3"/>
  <c r="B307" i="3"/>
  <c r="C307" i="3" s="1"/>
  <c r="B306" i="3"/>
  <c r="C306" i="3" s="1"/>
  <c r="D306" i="3" s="1"/>
  <c r="B305" i="3"/>
  <c r="C305" i="3" s="1"/>
  <c r="D305" i="3" s="1"/>
  <c r="B304" i="3"/>
  <c r="C304" i="3" s="1"/>
  <c r="D304" i="3" s="1"/>
  <c r="C303" i="3"/>
  <c r="D303" i="3" s="1"/>
  <c r="B303" i="3"/>
  <c r="C302" i="3"/>
  <c r="D302" i="3" s="1"/>
  <c r="B302" i="3"/>
  <c r="C301" i="3"/>
  <c r="D301" i="3" s="1"/>
  <c r="B301" i="3"/>
  <c r="C300" i="3"/>
  <c r="D300" i="3" s="1"/>
  <c r="B300" i="3"/>
  <c r="C299" i="3"/>
  <c r="D299" i="3" s="1"/>
  <c r="B299" i="3"/>
  <c r="C298" i="3"/>
  <c r="D298" i="3" s="1"/>
  <c r="B298" i="3"/>
  <c r="D297" i="3"/>
  <c r="B297" i="3"/>
  <c r="C297" i="3" s="1"/>
  <c r="C296" i="3"/>
  <c r="D296" i="3" s="1"/>
  <c r="B296" i="3"/>
  <c r="B295" i="3"/>
  <c r="C295" i="3" s="1"/>
  <c r="D295" i="3" s="1"/>
  <c r="C294" i="3"/>
  <c r="D294" i="3" s="1"/>
  <c r="B294" i="3"/>
  <c r="C293" i="3"/>
  <c r="D293" i="3" s="1"/>
  <c r="B293" i="3"/>
  <c r="D292" i="3"/>
  <c r="C292" i="3"/>
  <c r="B292" i="3"/>
  <c r="D291" i="3"/>
  <c r="B291" i="3"/>
  <c r="C291" i="3" s="1"/>
  <c r="B290" i="3"/>
  <c r="C290" i="3" s="1"/>
  <c r="D290" i="3" s="1"/>
  <c r="C289" i="3"/>
  <c r="D289" i="3" s="1"/>
  <c r="B289" i="3"/>
  <c r="B288" i="3"/>
  <c r="C288" i="3" s="1"/>
  <c r="D288" i="3" s="1"/>
  <c r="B287" i="3"/>
  <c r="C287" i="3" s="1"/>
  <c r="D287" i="3" s="1"/>
  <c r="C286" i="3"/>
  <c r="D286" i="3" s="1"/>
  <c r="B286" i="3"/>
  <c r="B285" i="3"/>
  <c r="C285" i="3" s="1"/>
  <c r="D285" i="3" s="1"/>
  <c r="B284" i="3"/>
  <c r="C284" i="3" s="1"/>
  <c r="D284" i="3" s="1"/>
  <c r="D283" i="3"/>
  <c r="C283" i="3"/>
  <c r="B283" i="3"/>
  <c r="B282" i="3"/>
  <c r="C282" i="3" s="1"/>
  <c r="D282" i="3" s="1"/>
  <c r="B281" i="3"/>
  <c r="C281" i="3" s="1"/>
  <c r="D281" i="3" s="1"/>
  <c r="C280" i="3"/>
  <c r="D280" i="3" s="1"/>
  <c r="B280" i="3"/>
  <c r="B279" i="3"/>
  <c r="C279" i="3" s="1"/>
  <c r="D279" i="3" s="1"/>
  <c r="C278" i="3"/>
  <c r="D278" i="3" s="1"/>
  <c r="B278" i="3"/>
  <c r="B277" i="3"/>
  <c r="C277" i="3" s="1"/>
  <c r="D277" i="3" s="1"/>
  <c r="C276" i="3"/>
  <c r="D276" i="3" s="1"/>
  <c r="B276" i="3"/>
  <c r="B275" i="3"/>
  <c r="C275" i="3" s="1"/>
  <c r="D275" i="3" s="1"/>
  <c r="D274" i="3"/>
  <c r="B274" i="3"/>
  <c r="C274" i="3" s="1"/>
  <c r="C273" i="3"/>
  <c r="D273" i="3" s="1"/>
  <c r="B273" i="3"/>
  <c r="B272" i="3"/>
  <c r="C272" i="3" s="1"/>
  <c r="D272" i="3" s="1"/>
  <c r="C271" i="3"/>
  <c r="D271" i="3" s="1"/>
  <c r="B271" i="3"/>
  <c r="C270" i="3"/>
  <c r="D270" i="3" s="1"/>
  <c r="B270" i="3"/>
  <c r="C269" i="3"/>
  <c r="D269" i="3" s="1"/>
  <c r="B269" i="3"/>
  <c r="C268" i="3"/>
  <c r="D268" i="3" s="1"/>
  <c r="B268" i="3"/>
  <c r="D267" i="3"/>
  <c r="B267" i="3"/>
  <c r="C267" i="3" s="1"/>
  <c r="B266" i="3"/>
  <c r="C266" i="3" s="1"/>
  <c r="D266" i="3" s="1"/>
  <c r="D265" i="3"/>
  <c r="B265" i="3"/>
  <c r="C265" i="3" s="1"/>
  <c r="B264" i="3"/>
  <c r="C264" i="3" s="1"/>
  <c r="D264" i="3" s="1"/>
  <c r="C263" i="3"/>
  <c r="D263" i="3" s="1"/>
  <c r="B263" i="3"/>
  <c r="C262" i="3"/>
  <c r="D262" i="3" s="1"/>
  <c r="B262" i="3"/>
  <c r="D261" i="3"/>
  <c r="B261" i="3"/>
  <c r="C261" i="3" s="1"/>
  <c r="C260" i="3"/>
  <c r="D260" i="3" s="1"/>
  <c r="B260" i="3"/>
  <c r="D259" i="3"/>
  <c r="B259" i="3"/>
  <c r="C259" i="3" s="1"/>
  <c r="C258" i="3"/>
  <c r="D258" i="3" s="1"/>
  <c r="B258" i="3"/>
  <c r="C257" i="3"/>
  <c r="D257" i="3" s="1"/>
  <c r="B257" i="3"/>
  <c r="D256" i="3"/>
  <c r="B256" i="3"/>
  <c r="C256" i="3" s="1"/>
  <c r="C255" i="3"/>
  <c r="D255" i="3" s="1"/>
  <c r="B255" i="3"/>
  <c r="C254" i="3"/>
  <c r="D254" i="3" s="1"/>
  <c r="B254" i="3"/>
  <c r="B253" i="3"/>
  <c r="C253" i="3" s="1"/>
  <c r="D253" i="3" s="1"/>
  <c r="D252" i="3"/>
  <c r="B252" i="3"/>
  <c r="C252" i="3" s="1"/>
  <c r="D251" i="3"/>
  <c r="B251" i="3"/>
  <c r="C251" i="3" s="1"/>
  <c r="C250" i="3"/>
  <c r="D250" i="3" s="1"/>
  <c r="B250" i="3"/>
  <c r="B249" i="3"/>
  <c r="C249" i="3" s="1"/>
  <c r="D249" i="3" s="1"/>
  <c r="C248" i="3"/>
  <c r="D248" i="3" s="1"/>
  <c r="B248" i="3"/>
  <c r="D247" i="3"/>
  <c r="B247" i="3"/>
  <c r="C247" i="3" s="1"/>
  <c r="D246" i="3"/>
  <c r="B246" i="3"/>
  <c r="C246" i="3" s="1"/>
  <c r="B245" i="3"/>
  <c r="C245" i="3" s="1"/>
  <c r="D245" i="3" s="1"/>
  <c r="C244" i="3"/>
  <c r="D244" i="3" s="1"/>
  <c r="B244" i="3"/>
  <c r="D243" i="3"/>
  <c r="B243" i="3"/>
  <c r="C243" i="3" s="1"/>
  <c r="B242" i="3"/>
  <c r="C242" i="3" s="1"/>
  <c r="D242" i="3" s="1"/>
  <c r="B241" i="3"/>
  <c r="C241" i="3" s="1"/>
  <c r="D241" i="3" s="1"/>
  <c r="C240" i="3"/>
  <c r="D240" i="3" s="1"/>
  <c r="B240" i="3"/>
  <c r="C239" i="3"/>
  <c r="D239" i="3" s="1"/>
  <c r="B239" i="3"/>
  <c r="C238" i="3"/>
  <c r="D238" i="3" s="1"/>
  <c r="B238" i="3"/>
  <c r="C237" i="3"/>
  <c r="D237" i="3" s="1"/>
  <c r="B237" i="3"/>
  <c r="C236" i="3"/>
  <c r="D236" i="3" s="1"/>
  <c r="B236" i="3"/>
  <c r="C235" i="3"/>
  <c r="D235" i="3" s="1"/>
  <c r="B235" i="3"/>
  <c r="C234" i="3"/>
  <c r="D234" i="3" s="1"/>
  <c r="B234" i="3"/>
  <c r="B233" i="3"/>
  <c r="C233" i="3" s="1"/>
  <c r="D233" i="3" s="1"/>
  <c r="C232" i="3"/>
  <c r="D232" i="3" s="1"/>
  <c r="B232" i="3"/>
  <c r="B231" i="3"/>
  <c r="C231" i="3" s="1"/>
  <c r="D231" i="3" s="1"/>
  <c r="D230" i="3"/>
  <c r="C230" i="3"/>
  <c r="B230" i="3"/>
  <c r="C229" i="3"/>
  <c r="D229" i="3" s="1"/>
  <c r="B229" i="3"/>
  <c r="C228" i="3"/>
  <c r="D228" i="3" s="1"/>
  <c r="B228" i="3"/>
  <c r="D227" i="3"/>
  <c r="B227" i="3"/>
  <c r="C227" i="3" s="1"/>
  <c r="D226" i="3"/>
  <c r="B226" i="3"/>
  <c r="C226" i="3" s="1"/>
  <c r="B225" i="3"/>
  <c r="C225" i="3" s="1"/>
  <c r="D225" i="3" s="1"/>
  <c r="D224" i="3"/>
  <c r="B224" i="3"/>
  <c r="C224" i="3" s="1"/>
  <c r="B223" i="3"/>
  <c r="C223" i="3" s="1"/>
  <c r="D223" i="3" s="1"/>
  <c r="C222" i="3"/>
  <c r="D222" i="3" s="1"/>
  <c r="B222" i="3"/>
  <c r="B221" i="3"/>
  <c r="C221" i="3" s="1"/>
  <c r="D221" i="3" s="1"/>
  <c r="C220" i="3"/>
  <c r="D220" i="3" s="1"/>
  <c r="B220" i="3"/>
  <c r="B219" i="3"/>
  <c r="C219" i="3" s="1"/>
  <c r="D219" i="3" s="1"/>
  <c r="B218" i="3"/>
  <c r="C218" i="3" s="1"/>
  <c r="D218" i="3" s="1"/>
  <c r="B217" i="3"/>
  <c r="C217" i="3" s="1"/>
  <c r="D217" i="3" s="1"/>
  <c r="C216" i="3"/>
  <c r="D216" i="3" s="1"/>
  <c r="B216" i="3"/>
  <c r="B215" i="3"/>
  <c r="C215" i="3" s="1"/>
  <c r="D215" i="3" s="1"/>
  <c r="B214" i="3"/>
  <c r="C214" i="3" s="1"/>
  <c r="D214" i="3" s="1"/>
  <c r="B213" i="3"/>
  <c r="C213" i="3" s="1"/>
  <c r="D213" i="3" s="1"/>
  <c r="B212" i="3"/>
  <c r="C212" i="3" s="1"/>
  <c r="D212" i="3" s="1"/>
  <c r="B211" i="3"/>
  <c r="C211" i="3" s="1"/>
  <c r="D211" i="3" s="1"/>
  <c r="C210" i="3"/>
  <c r="D210" i="3" s="1"/>
  <c r="B210" i="3"/>
  <c r="B209" i="3"/>
  <c r="C209" i="3" s="1"/>
  <c r="D209" i="3" s="1"/>
  <c r="B208" i="3"/>
  <c r="C208" i="3" s="1"/>
  <c r="D208" i="3" s="1"/>
  <c r="B207" i="3"/>
  <c r="C207" i="3" s="1"/>
  <c r="D207" i="3" s="1"/>
  <c r="B206" i="3"/>
  <c r="C206" i="3" s="1"/>
  <c r="D206" i="3" s="1"/>
  <c r="B205" i="3"/>
  <c r="C205" i="3" s="1"/>
  <c r="D205" i="3" s="1"/>
  <c r="B204" i="3"/>
  <c r="C204" i="3" s="1"/>
  <c r="D204" i="3" s="1"/>
  <c r="B203" i="3"/>
  <c r="C203" i="3" s="1"/>
  <c r="D203" i="3" s="1"/>
  <c r="C202" i="3"/>
  <c r="D202" i="3" s="1"/>
  <c r="B202" i="3"/>
  <c r="C201" i="3"/>
  <c r="D201" i="3" s="1"/>
  <c r="B201" i="3"/>
  <c r="C200" i="3"/>
  <c r="D200" i="3" s="1"/>
  <c r="B200" i="3"/>
  <c r="B199" i="3"/>
  <c r="C199" i="3" s="1"/>
  <c r="D199" i="3" s="1"/>
  <c r="D198" i="3"/>
  <c r="C198" i="3"/>
  <c r="B198" i="3"/>
  <c r="B197" i="3"/>
  <c r="C197" i="3" s="1"/>
  <c r="D197" i="3" s="1"/>
  <c r="B196" i="3"/>
  <c r="C196" i="3" s="1"/>
  <c r="D196" i="3" s="1"/>
  <c r="B195" i="3"/>
  <c r="C195" i="3" s="1"/>
  <c r="D195" i="3" s="1"/>
  <c r="C194" i="3"/>
  <c r="D194" i="3" s="1"/>
  <c r="B194" i="3"/>
  <c r="B193" i="3"/>
  <c r="C193" i="3" s="1"/>
  <c r="D193" i="3" s="1"/>
  <c r="D192" i="3"/>
  <c r="C192" i="3"/>
  <c r="B192" i="3"/>
  <c r="B191" i="3"/>
  <c r="C191" i="3" s="1"/>
  <c r="D191" i="3" s="1"/>
  <c r="D190" i="3"/>
  <c r="B190" i="3"/>
  <c r="C190" i="3" s="1"/>
  <c r="B189" i="3"/>
  <c r="C189" i="3" s="1"/>
  <c r="D189" i="3" s="1"/>
  <c r="C188" i="3"/>
  <c r="D188" i="3" s="1"/>
  <c r="B188" i="3"/>
  <c r="B187" i="3"/>
  <c r="C187" i="3" s="1"/>
  <c r="D187" i="3" s="1"/>
  <c r="D186" i="3"/>
  <c r="C186" i="3"/>
  <c r="B186" i="3"/>
  <c r="C185" i="3"/>
  <c r="D185" i="3" s="1"/>
  <c r="B185" i="3"/>
  <c r="B184" i="3"/>
  <c r="C184" i="3" s="1"/>
  <c r="D184" i="3" s="1"/>
  <c r="B183" i="3"/>
  <c r="C183" i="3" s="1"/>
  <c r="D183" i="3" s="1"/>
  <c r="C182" i="3"/>
  <c r="D182" i="3" s="1"/>
  <c r="B182" i="3"/>
  <c r="C181" i="3"/>
  <c r="D181" i="3" s="1"/>
  <c r="B181" i="3"/>
  <c r="B180" i="3"/>
  <c r="C180" i="3" s="1"/>
  <c r="D180" i="3" s="1"/>
  <c r="B179" i="3"/>
  <c r="C179" i="3" s="1"/>
  <c r="D179" i="3" s="1"/>
  <c r="B178" i="3"/>
  <c r="C178" i="3" s="1"/>
  <c r="D178" i="3" s="1"/>
  <c r="B177" i="3"/>
  <c r="C177" i="3" s="1"/>
  <c r="D177" i="3" s="1"/>
  <c r="C176" i="3"/>
  <c r="D176" i="3" s="1"/>
  <c r="B176" i="3"/>
  <c r="B175" i="3"/>
  <c r="C175" i="3" s="1"/>
  <c r="D175" i="3" s="1"/>
  <c r="D174" i="3"/>
  <c r="B174" i="3"/>
  <c r="C174" i="3" s="1"/>
  <c r="B173" i="3"/>
  <c r="C173" i="3" s="1"/>
  <c r="D173" i="3" s="1"/>
  <c r="B172" i="3"/>
  <c r="C172" i="3" s="1"/>
  <c r="D172" i="3" s="1"/>
  <c r="B171" i="3"/>
  <c r="C171" i="3" s="1"/>
  <c r="D171" i="3" s="1"/>
  <c r="C170" i="3"/>
  <c r="D170" i="3" s="1"/>
  <c r="B170" i="3"/>
  <c r="C169" i="3"/>
  <c r="D169" i="3" s="1"/>
  <c r="B169" i="3"/>
  <c r="B168" i="3"/>
  <c r="C168" i="3" s="1"/>
  <c r="D168" i="3" s="1"/>
  <c r="B167" i="3"/>
  <c r="C167" i="3" s="1"/>
  <c r="D167" i="3" s="1"/>
  <c r="C166" i="3"/>
  <c r="D166" i="3" s="1"/>
  <c r="B166" i="3"/>
  <c r="B165" i="3"/>
  <c r="C165" i="3" s="1"/>
  <c r="D165" i="3" s="1"/>
  <c r="B164" i="3"/>
  <c r="C164" i="3" s="1"/>
  <c r="D164" i="3" s="1"/>
  <c r="B163" i="3"/>
  <c r="C163" i="3" s="1"/>
  <c r="D163" i="3" s="1"/>
  <c r="B162" i="3"/>
  <c r="C162" i="3" s="1"/>
  <c r="D162" i="3" s="1"/>
  <c r="B161" i="3"/>
  <c r="C161" i="3" s="1"/>
  <c r="D161" i="3" s="1"/>
  <c r="C160" i="3"/>
  <c r="D160" i="3" s="1"/>
  <c r="B160" i="3"/>
  <c r="D159" i="3"/>
  <c r="B159" i="3"/>
  <c r="C159" i="3" s="1"/>
  <c r="D158" i="3"/>
  <c r="B158" i="3"/>
  <c r="C158" i="3" s="1"/>
  <c r="B157" i="3"/>
  <c r="C157" i="3" s="1"/>
  <c r="D157" i="3" s="1"/>
  <c r="B156" i="3"/>
  <c r="C156" i="3" s="1"/>
  <c r="D156" i="3" s="1"/>
  <c r="B155" i="3"/>
  <c r="C155" i="3" s="1"/>
  <c r="D155" i="3" s="1"/>
  <c r="C154" i="3"/>
  <c r="D154" i="3" s="1"/>
  <c r="B154" i="3"/>
  <c r="D153" i="3"/>
  <c r="C153" i="3"/>
  <c r="B153" i="3"/>
  <c r="B152" i="3"/>
  <c r="C152" i="3" s="1"/>
  <c r="D152" i="3" s="1"/>
  <c r="B151" i="3"/>
  <c r="C151" i="3" s="1"/>
  <c r="D151" i="3" s="1"/>
  <c r="C150" i="3"/>
  <c r="D150" i="3" s="1"/>
  <c r="B150" i="3"/>
  <c r="B149" i="3"/>
  <c r="C149" i="3" s="1"/>
  <c r="D149" i="3" s="1"/>
  <c r="B148" i="3"/>
  <c r="C148" i="3" s="1"/>
  <c r="D148" i="3" s="1"/>
  <c r="B147" i="3"/>
  <c r="C147" i="3" s="1"/>
  <c r="D147" i="3" s="1"/>
  <c r="B146" i="3"/>
  <c r="C146" i="3" s="1"/>
  <c r="D146" i="3" s="1"/>
  <c r="B145" i="3"/>
  <c r="C145" i="3" s="1"/>
  <c r="D145" i="3" s="1"/>
  <c r="C144" i="3"/>
  <c r="D144" i="3" s="1"/>
  <c r="B144" i="3"/>
  <c r="B143" i="3"/>
  <c r="C143" i="3" s="1"/>
  <c r="D143" i="3" s="1"/>
  <c r="D142" i="3"/>
  <c r="B142" i="3"/>
  <c r="C142" i="3" s="1"/>
  <c r="B141" i="3"/>
  <c r="C141" i="3" s="1"/>
  <c r="D141" i="3" s="1"/>
  <c r="B140" i="3"/>
  <c r="C140" i="3" s="1"/>
  <c r="D140" i="3" s="1"/>
  <c r="B139" i="3"/>
  <c r="C139" i="3" s="1"/>
  <c r="D139" i="3" s="1"/>
  <c r="C138" i="3"/>
  <c r="D138" i="3" s="1"/>
  <c r="B138" i="3"/>
  <c r="C137" i="3"/>
  <c r="D137" i="3" s="1"/>
  <c r="B137" i="3"/>
  <c r="C136" i="3"/>
  <c r="D136" i="3" s="1"/>
  <c r="B136" i="3"/>
  <c r="B135" i="3"/>
  <c r="C135" i="3" s="1"/>
  <c r="D135" i="3" s="1"/>
  <c r="C134" i="3"/>
  <c r="D134" i="3" s="1"/>
  <c r="B134" i="3"/>
  <c r="B133" i="3"/>
  <c r="C133" i="3" s="1"/>
  <c r="D133" i="3" s="1"/>
  <c r="B132" i="3"/>
  <c r="C132" i="3" s="1"/>
  <c r="D132" i="3" s="1"/>
  <c r="B131" i="3"/>
  <c r="C131" i="3" s="1"/>
  <c r="D131" i="3" s="1"/>
  <c r="C130" i="3"/>
  <c r="D130" i="3" s="1"/>
  <c r="B130" i="3"/>
  <c r="B129" i="3"/>
  <c r="C129" i="3" s="1"/>
  <c r="D129" i="3" s="1"/>
  <c r="D128" i="3"/>
  <c r="C128" i="3"/>
  <c r="B128" i="3"/>
  <c r="B127" i="3"/>
  <c r="C127" i="3" s="1"/>
  <c r="D127" i="3" s="1"/>
  <c r="D126" i="3"/>
  <c r="B126" i="3"/>
  <c r="C126" i="3" s="1"/>
  <c r="B125" i="3"/>
  <c r="C125" i="3" s="1"/>
  <c r="D125" i="3" s="1"/>
  <c r="C124" i="3"/>
  <c r="D124" i="3" s="1"/>
  <c r="B124" i="3"/>
  <c r="B123" i="3"/>
  <c r="C123" i="3" s="1"/>
  <c r="D123" i="3" s="1"/>
  <c r="C122" i="3"/>
  <c r="D122" i="3" s="1"/>
  <c r="B122" i="3"/>
  <c r="C121" i="3"/>
  <c r="D121" i="3" s="1"/>
  <c r="B121" i="3"/>
  <c r="B120" i="3"/>
  <c r="C120" i="3" s="1"/>
  <c r="D120" i="3" s="1"/>
  <c r="B119" i="3"/>
  <c r="C119" i="3" s="1"/>
  <c r="D119" i="3" s="1"/>
  <c r="C118" i="3"/>
  <c r="D118" i="3" s="1"/>
  <c r="B118" i="3"/>
  <c r="B117" i="3"/>
  <c r="C117" i="3" s="1"/>
  <c r="D117" i="3" s="1"/>
  <c r="B116" i="3"/>
  <c r="C116" i="3" s="1"/>
  <c r="D116" i="3" s="1"/>
  <c r="B115" i="3"/>
  <c r="C115" i="3" s="1"/>
  <c r="D115" i="3" s="1"/>
  <c r="B114" i="3"/>
  <c r="C114" i="3" s="1"/>
  <c r="D114" i="3" s="1"/>
  <c r="B113" i="3"/>
  <c r="C113" i="3" s="1"/>
  <c r="D113" i="3" s="1"/>
  <c r="C112" i="3"/>
  <c r="D112" i="3" s="1"/>
  <c r="B112" i="3"/>
  <c r="B111" i="3"/>
  <c r="C111" i="3" s="1"/>
  <c r="D111" i="3" s="1"/>
  <c r="D110" i="3"/>
  <c r="B110" i="3"/>
  <c r="C110" i="3" s="1"/>
  <c r="B109" i="3"/>
  <c r="C109" i="3" s="1"/>
  <c r="D109" i="3" s="1"/>
  <c r="B108" i="3"/>
  <c r="C108" i="3" s="1"/>
  <c r="D108" i="3" s="1"/>
  <c r="B107" i="3"/>
  <c r="C107" i="3" s="1"/>
  <c r="D107" i="3" s="1"/>
  <c r="C106" i="3"/>
  <c r="D106" i="3" s="1"/>
  <c r="B106" i="3"/>
  <c r="C105" i="3"/>
  <c r="D105" i="3" s="1"/>
  <c r="B105" i="3"/>
  <c r="B104" i="3"/>
  <c r="C104" i="3" s="1"/>
  <c r="D104" i="3" s="1"/>
  <c r="B103" i="3"/>
  <c r="C103" i="3" s="1"/>
  <c r="D103" i="3" s="1"/>
  <c r="C102" i="3"/>
  <c r="D102" i="3" s="1"/>
  <c r="B102" i="3"/>
  <c r="B101" i="3"/>
  <c r="C101" i="3" s="1"/>
  <c r="D101" i="3" s="1"/>
  <c r="B100" i="3"/>
  <c r="C100" i="3" s="1"/>
  <c r="D100" i="3" s="1"/>
  <c r="B99" i="3"/>
  <c r="C99" i="3" s="1"/>
  <c r="D99" i="3" s="1"/>
  <c r="B98" i="3"/>
  <c r="C98" i="3" s="1"/>
  <c r="D98" i="3" s="1"/>
  <c r="B97" i="3"/>
  <c r="C97" i="3" s="1"/>
  <c r="D97" i="3" s="1"/>
  <c r="C96" i="3"/>
  <c r="D96" i="3" s="1"/>
  <c r="B96" i="3"/>
  <c r="D95" i="3"/>
  <c r="B95" i="3"/>
  <c r="C95" i="3" s="1"/>
  <c r="D94" i="3"/>
  <c r="B94" i="3"/>
  <c r="C94" i="3" s="1"/>
  <c r="B93" i="3"/>
  <c r="C93" i="3" s="1"/>
  <c r="D93" i="3" s="1"/>
  <c r="B92" i="3"/>
  <c r="C92" i="3" s="1"/>
  <c r="D92" i="3" s="1"/>
  <c r="B91" i="3"/>
  <c r="C91" i="3" s="1"/>
  <c r="D91" i="3" s="1"/>
  <c r="C90" i="3"/>
  <c r="D90" i="3" s="1"/>
  <c r="B90" i="3"/>
  <c r="D89" i="3"/>
  <c r="C89" i="3"/>
  <c r="B89" i="3"/>
  <c r="B88" i="3"/>
  <c r="C88" i="3" s="1"/>
  <c r="D88" i="3" s="1"/>
  <c r="B87" i="3"/>
  <c r="C87" i="3" s="1"/>
  <c r="D87" i="3" s="1"/>
  <c r="C86" i="3"/>
  <c r="D86" i="3" s="1"/>
  <c r="B86" i="3"/>
  <c r="B85" i="3"/>
  <c r="C85" i="3" s="1"/>
  <c r="D85" i="3" s="1"/>
  <c r="B84" i="3"/>
  <c r="C84" i="3" s="1"/>
  <c r="D84" i="3" s="1"/>
  <c r="B83" i="3"/>
  <c r="C83" i="3" s="1"/>
  <c r="D83" i="3" s="1"/>
  <c r="B82" i="3"/>
  <c r="C82" i="3" s="1"/>
  <c r="D82" i="3" s="1"/>
  <c r="B81" i="3"/>
  <c r="C81" i="3" s="1"/>
  <c r="D81" i="3" s="1"/>
  <c r="C80" i="3"/>
  <c r="D80" i="3" s="1"/>
  <c r="B80" i="3"/>
  <c r="B79" i="3"/>
  <c r="C79" i="3" s="1"/>
  <c r="D79" i="3" s="1"/>
  <c r="D78" i="3"/>
  <c r="B78" i="3"/>
  <c r="C78" i="3" s="1"/>
  <c r="B77" i="3"/>
  <c r="C77" i="3" s="1"/>
  <c r="D77" i="3" s="1"/>
  <c r="B76" i="3"/>
  <c r="C76" i="3" s="1"/>
  <c r="D76" i="3" s="1"/>
  <c r="B75" i="3"/>
  <c r="C75" i="3" s="1"/>
  <c r="D75" i="3" s="1"/>
  <c r="C74" i="3"/>
  <c r="D74" i="3" s="1"/>
  <c r="B74" i="3"/>
  <c r="B73" i="3"/>
  <c r="C73" i="3" s="1"/>
  <c r="D73" i="3" s="1"/>
  <c r="C72" i="3"/>
  <c r="D72" i="3" s="1"/>
  <c r="B72" i="3"/>
  <c r="B71" i="3"/>
  <c r="C71" i="3" s="1"/>
  <c r="D71" i="3" s="1"/>
  <c r="C70" i="3"/>
  <c r="D70" i="3" s="1"/>
  <c r="B70" i="3"/>
  <c r="B69" i="3"/>
  <c r="C69" i="3" s="1"/>
  <c r="D69" i="3" s="1"/>
  <c r="B68" i="3"/>
  <c r="C68" i="3" s="1"/>
  <c r="D68" i="3" s="1"/>
  <c r="B67" i="3"/>
  <c r="C67" i="3" s="1"/>
  <c r="D67" i="3" s="1"/>
  <c r="C66" i="3"/>
  <c r="D66" i="3" s="1"/>
  <c r="B66" i="3"/>
  <c r="B65" i="3"/>
  <c r="C65" i="3" s="1"/>
  <c r="D65" i="3" s="1"/>
  <c r="B64" i="3"/>
  <c r="C64" i="3" s="1"/>
  <c r="D64" i="3" s="1"/>
  <c r="B63" i="3"/>
  <c r="C63" i="3" s="1"/>
  <c r="D63" i="3" s="1"/>
  <c r="C62" i="3"/>
  <c r="D62" i="3" s="1"/>
  <c r="B62" i="3"/>
  <c r="B61" i="3"/>
  <c r="C61" i="3" s="1"/>
  <c r="D61" i="3" s="1"/>
  <c r="B60" i="3"/>
  <c r="C60" i="3" s="1"/>
  <c r="D60" i="3" s="1"/>
  <c r="B59" i="3"/>
  <c r="C59" i="3" s="1"/>
  <c r="D59" i="3" s="1"/>
  <c r="C58" i="3"/>
  <c r="D58" i="3" s="1"/>
  <c r="B58" i="3"/>
  <c r="B57" i="3"/>
  <c r="C57" i="3" s="1"/>
  <c r="D57" i="3" s="1"/>
  <c r="C56" i="3"/>
  <c r="D56" i="3" s="1"/>
  <c r="B56" i="3"/>
  <c r="B55" i="3"/>
  <c r="C55" i="3" s="1"/>
  <c r="D55" i="3" s="1"/>
  <c r="C54" i="3"/>
  <c r="D54" i="3" s="1"/>
  <c r="B54" i="3"/>
  <c r="B53" i="3"/>
  <c r="C53" i="3" s="1"/>
  <c r="D53" i="3" s="1"/>
  <c r="B52" i="3"/>
  <c r="C52" i="3" s="1"/>
  <c r="D52" i="3" s="1"/>
  <c r="B51" i="3"/>
  <c r="C51" i="3" s="1"/>
  <c r="D51" i="3" s="1"/>
  <c r="C50" i="3"/>
  <c r="D50" i="3" s="1"/>
  <c r="B50" i="3"/>
  <c r="B49" i="3"/>
  <c r="C49" i="3" s="1"/>
  <c r="D49" i="3" s="1"/>
  <c r="B48" i="3"/>
  <c r="C48" i="3" s="1"/>
  <c r="D48" i="3" s="1"/>
  <c r="B47" i="3"/>
  <c r="C47" i="3" s="1"/>
  <c r="D47" i="3" s="1"/>
  <c r="C46" i="3"/>
  <c r="D46" i="3" s="1"/>
  <c r="B46" i="3"/>
  <c r="B45" i="3"/>
  <c r="C45" i="3" s="1"/>
  <c r="D45" i="3" s="1"/>
  <c r="B44" i="3"/>
  <c r="C44" i="3" s="1"/>
  <c r="D44" i="3" s="1"/>
  <c r="B43" i="3"/>
  <c r="C43" i="3" s="1"/>
  <c r="D43" i="3" s="1"/>
  <c r="C42" i="3"/>
  <c r="D42" i="3" s="1"/>
  <c r="B42" i="3"/>
  <c r="B41" i="3"/>
  <c r="C41" i="3" s="1"/>
  <c r="D41" i="3" s="1"/>
  <c r="C40" i="3"/>
  <c r="D40" i="3" s="1"/>
  <c r="B40" i="3"/>
  <c r="B39" i="3"/>
  <c r="C39" i="3" s="1"/>
  <c r="D39" i="3" s="1"/>
  <c r="C38" i="3"/>
  <c r="D38" i="3" s="1"/>
  <c r="B38" i="3"/>
  <c r="B37" i="3"/>
  <c r="C37" i="3" s="1"/>
  <c r="D37" i="3" s="1"/>
  <c r="B36" i="3"/>
  <c r="C36" i="3" s="1"/>
  <c r="D36" i="3" s="1"/>
  <c r="B35" i="3"/>
  <c r="C35" i="3" s="1"/>
  <c r="D35" i="3" s="1"/>
  <c r="C34" i="3"/>
  <c r="D34" i="3" s="1"/>
  <c r="B34" i="3"/>
  <c r="B33" i="3"/>
  <c r="C33" i="3" s="1"/>
  <c r="D33" i="3" s="1"/>
  <c r="B32" i="3"/>
  <c r="C32" i="3" s="1"/>
  <c r="D32" i="3" s="1"/>
  <c r="B31" i="3"/>
  <c r="C31" i="3" s="1"/>
  <c r="D31" i="3" s="1"/>
  <c r="C30" i="3"/>
  <c r="D30" i="3" s="1"/>
  <c r="B30" i="3"/>
  <c r="B29" i="3"/>
  <c r="C29" i="3" s="1"/>
  <c r="D29" i="3" s="1"/>
  <c r="B28" i="3"/>
  <c r="C28" i="3" s="1"/>
  <c r="D28" i="3" s="1"/>
  <c r="B27" i="3"/>
  <c r="C27" i="3" s="1"/>
  <c r="D27" i="3" s="1"/>
  <c r="C26" i="3"/>
  <c r="D26" i="3" s="1"/>
  <c r="B26" i="3"/>
  <c r="B25" i="3"/>
  <c r="C25" i="3" s="1"/>
  <c r="D25" i="3" s="1"/>
  <c r="C24" i="3"/>
  <c r="D24" i="3" s="1"/>
  <c r="B24" i="3"/>
  <c r="B23" i="3"/>
  <c r="C23" i="3" s="1"/>
  <c r="D23" i="3" s="1"/>
  <c r="C22" i="3"/>
  <c r="D22" i="3" s="1"/>
  <c r="B22" i="3"/>
  <c r="B21" i="3"/>
  <c r="C21" i="3" s="1"/>
  <c r="D21" i="3" s="1"/>
  <c r="B20" i="3"/>
  <c r="C20" i="3" s="1"/>
  <c r="D20" i="3" s="1"/>
  <c r="B19" i="3"/>
  <c r="C19" i="3" s="1"/>
  <c r="D19" i="3" s="1"/>
  <c r="C18" i="3"/>
  <c r="D18" i="3" s="1"/>
  <c r="B18" i="3"/>
  <c r="B17" i="3"/>
  <c r="C17" i="3" s="1"/>
  <c r="D17" i="3" s="1"/>
  <c r="B16" i="3"/>
  <c r="C16" i="3" s="1"/>
  <c r="D16" i="3" s="1"/>
  <c r="B15" i="3"/>
  <c r="C15" i="3" s="1"/>
  <c r="D15" i="3" s="1"/>
  <c r="C14" i="3"/>
  <c r="D14" i="3" s="1"/>
  <c r="B14" i="3"/>
  <c r="B13" i="3"/>
  <c r="C13" i="3" s="1"/>
  <c r="D13" i="3" s="1"/>
  <c r="B12" i="3"/>
  <c r="C12" i="3" s="1"/>
  <c r="D12" i="3" s="1"/>
  <c r="B11" i="3"/>
  <c r="C11" i="3" s="1"/>
  <c r="D11" i="3" s="1"/>
  <c r="C10" i="3"/>
  <c r="D10" i="3" s="1"/>
  <c r="B10" i="3"/>
  <c r="B9" i="3"/>
  <c r="C9" i="3" s="1"/>
  <c r="D9" i="3" s="1"/>
  <c r="C8" i="3"/>
  <c r="D8" i="3" s="1"/>
  <c r="B8" i="3"/>
  <c r="B7" i="3"/>
  <c r="C7" i="3" s="1"/>
  <c r="D7" i="3" s="1"/>
  <c r="C6" i="3"/>
  <c r="D6" i="3" s="1"/>
  <c r="B6" i="3"/>
  <c r="B5" i="3"/>
  <c r="C5" i="3" s="1"/>
  <c r="D5" i="3" s="1"/>
  <c r="B4" i="3"/>
  <c r="C4" i="3" s="1"/>
  <c r="D4" i="3" s="1"/>
  <c r="B10" i="4" l="1"/>
  <c r="A13" i="4" s="1"/>
</calcChain>
</file>

<file path=xl/sharedStrings.xml><?xml version="1.0" encoding="utf-8"?>
<sst xmlns="http://schemas.openxmlformats.org/spreadsheetml/2006/main" count="983" uniqueCount="947">
  <si>
    <t>Tabel Konversi Berat Jenis (SG) ke Kadar Emas</t>
  </si>
  <si>
    <t>Metode Timbangan Air (Hukum Archimedes) — Dikalibrasi dari Tabel Referensi "Toko Acong"</t>
  </si>
  <si>
    <t>RUMUS YANG DIGUNAKAN</t>
  </si>
  <si>
    <t>Kadar Au (%) = [ (1/SG) − (1/ρ_logam) ] / [ (1/ρ_Au) − (1/ρ_logam) ] × 100</t>
  </si>
  <si>
    <t>Karat = Kadar Au (%) × 24 / 100</t>
  </si>
  <si>
    <t>KONSTANTA KALIBRASI (lihat sheet "Konstanta")</t>
  </si>
  <si>
    <t>ρ_Au (densitas emas)        = 19,3625 g/cm³</t>
  </si>
  <si>
    <t>ρ_logam (densitas campuran Cu efektif) = 8,8795 g/cm³</t>
  </si>
  <si>
    <t>Nilai-nilai ini diperoleh melalui regresi non-linear (curve fitting) terhadap 16+ titik data</t>
  </si>
  <si>
    <t>yang diekstraksi langsung dari tabel cetak milik Toko Acong (021-89990912 / 0813-1642-2890),</t>
  </si>
  <si>
    <t>mencakup rentang SG 10,51 hingga 19,36. Hasil rumus cocok dengan tabel asli dengan selisih</t>
  </si>
  <si>
    <t>rata-rata di bawah 0,03% — sehingga rumus ini merupakan REKONSTRUKSI dari metode kalibrasi</t>
  </si>
  <si>
    <t>empiris toko tersebut, bukan nilai densitas fisika murni dari buku teks (Au murni = 19,32; Cu = 8,96).</t>
  </si>
  <si>
    <t>ASUMSI &amp; KETERBATASAN</t>
  </si>
  <si>
    <t>• Rumus ini mengasumsikan logam campuran adalah TEMBAGA (paduan Au-Cu / emas kuning standar).</t>
  </si>
  <si>
    <t>• Jika emas dicampur perak (Au-Ag) atau paduan 3 logam (Au-Ag-Cu), hasil bisa bergeser ±0,5–1%.</t>
  </si>
  <si>
    <t>• Metode ini bersifat SCREENING / ESTIMASI CEPAT, bukan pengganti uji asam atau XRF untuk</t>
  </si>
  <si>
    <t xml:space="preserve">  transaksi bernilai tinggi atau sertifikasi resmi.</t>
  </si>
  <si>
    <t>• Pastikan timbangan di-tare (nol-kan) setelah wadah air &amp; kawat gantung dipasang, SEBELUM</t>
  </si>
  <si>
    <t xml:space="preserve">  emas dicelupkan, agar berat wadah tidak ikut terhitung.</t>
  </si>
  <si>
    <t>ISI WORKBOOK</t>
  </si>
  <si>
    <t>1. Ringkasan       — halaman ini</t>
  </si>
  <si>
    <t>2. Konstanta       — parameter kalibrasi (boleh disesuaikan jika punya data lebih akurat)</t>
  </si>
  <si>
    <t>3. Tabel Kadar Emas — tabel lengkap SG 10,51 (paling tidak murni) → 19,36 (paling murni)</t>
  </si>
  <si>
    <t>4. Kalkulator      — input berat di udara &amp; di air → hasil SG, kadar, dan karat otomatis</t>
  </si>
  <si>
    <t>Konstanta Kalibrasi</t>
  </si>
  <si>
    <t>Parameter</t>
  </si>
  <si>
    <t>Nilai</t>
  </si>
  <si>
    <t>Keterangan</t>
  </si>
  <si>
    <t>ρ_Au (densitas emas murni)</t>
  </si>
  <si>
    <t>Hasil regresi, bukan 19,32 teoretis — sudah terkalibrasi ke tabel toko</t>
  </si>
  <si>
    <t>ρ_logam (densitas campuran/Cu)</t>
  </si>
  <si>
    <t>Hasil regresi, mendekati Cu murni (8,96) tapi sedikit lebih rendah</t>
  </si>
  <si>
    <t>ρ_air</t>
  </si>
  <si>
    <t>Densitas air pada suhu ruang (acuan standar)</t>
  </si>
  <si>
    <t>Catatan: sel berwarna BIRU adalah input — boleh Tuan ubah jika punya data kalibrasi sendiri.</t>
  </si>
  <si>
    <t>Seluruh formula di sheet "Tabel Kadar Emas" dan "Kalkulator" akan otomatis menyesuaikan.</t>
  </si>
  <si>
    <t>Tabel Kadar Emas Berdasarkan SG — Dari Paling Tidak Murni ke Paling Murni</t>
  </si>
  <si>
    <t>Rentang SG 10,51 (terendah pada tabel acuan) hingga 19,36 (emas paling murni)</t>
  </si>
  <si>
    <t>SG (Berat Jenis)</t>
  </si>
  <si>
    <t>Kadar Emas (%Au)</t>
  </si>
  <si>
    <t>Karat</t>
  </si>
  <si>
    <t>Estimasi Sebutan</t>
  </si>
  <si>
    <t>Cek cepat (verifikasi):</t>
  </si>
  <si>
    <t>Jumlah baris data: 886 (SG 10.51 s.d. 19.36, step 0.01)</t>
  </si>
  <si>
    <t>Baris terakhir: 889</t>
  </si>
  <si>
    <t>Kalkulator Kadar Emas — Metode Timbangan Air</t>
  </si>
  <si>
    <t>LANGKAH 1 — Masukkan Hasil Timbangan</t>
  </si>
  <si>
    <t>Berat emas di udara (gram)</t>
  </si>
  <si>
    <t>← Timbangan sudah di-tare (nol) sebelum emas dicelup</t>
  </si>
  <si>
    <t>Berat emas di dalam air (gram)</t>
  </si>
  <si>
    <t>← Pastikan wadah &amp; kawat gantung tidak ikut tertimbang</t>
  </si>
  <si>
    <t>LANGKAH 2 — Hasil Otomatis</t>
  </si>
  <si>
    <t>Estimasi Karat</t>
  </si>
  <si>
    <t>Keterangan Tambahan</t>
  </si>
  <si>
    <t>Catatan: Kalkulator ini menggunakan rumus &amp; konstanta yang sama dengan sheet "Tabel Kadar Emas"</t>
  </si>
  <si>
    <t>(dikalibrasi dari tabel referensi Toko Acong). Untuk transaksi bernilai tinggi, tetap</t>
  </si>
  <si>
    <t>disarankan verifikasi dengan uji asam atau XRF.</t>
  </si>
  <si>
    <t>BJ</t>
  </si>
  <si>
    <t>10.51</t>
  </si>
  <si>
    <t>10.52</t>
  </si>
  <si>
    <t>10.53</t>
  </si>
  <si>
    <t>10.54</t>
  </si>
  <si>
    <t>10.55</t>
  </si>
  <si>
    <t>10.56</t>
  </si>
  <si>
    <t>10.57</t>
  </si>
  <si>
    <t>10.58</t>
  </si>
  <si>
    <t>10.59</t>
  </si>
  <si>
    <t>10.60</t>
  </si>
  <si>
    <t>10.61</t>
  </si>
  <si>
    <t>10.62</t>
  </si>
  <si>
    <t>10.63</t>
  </si>
  <si>
    <t>10.64</t>
  </si>
  <si>
    <t>10.65</t>
  </si>
  <si>
    <t>10.66</t>
  </si>
  <si>
    <t>10.67</t>
  </si>
  <si>
    <t>10.68</t>
  </si>
  <si>
    <t>10.69</t>
  </si>
  <si>
    <t>10.70</t>
  </si>
  <si>
    <t>10.71</t>
  </si>
  <si>
    <t>10.72</t>
  </si>
  <si>
    <t>10.73</t>
  </si>
  <si>
    <t>10.74</t>
  </si>
  <si>
    <t>10.75</t>
  </si>
  <si>
    <t>10.76</t>
  </si>
  <si>
    <t>10.77</t>
  </si>
  <si>
    <t>10.78</t>
  </si>
  <si>
    <t>10.79</t>
  </si>
  <si>
    <t>10.80</t>
  </si>
  <si>
    <t>10.81</t>
  </si>
  <si>
    <t>10.82</t>
  </si>
  <si>
    <t>10.83</t>
  </si>
  <si>
    <t>10.84</t>
  </si>
  <si>
    <t>10.85</t>
  </si>
  <si>
    <t>10.86</t>
  </si>
  <si>
    <t>10.87</t>
  </si>
  <si>
    <t>10.88</t>
  </si>
  <si>
    <t>10.89</t>
  </si>
  <si>
    <t>10.90</t>
  </si>
  <si>
    <t>10.91</t>
  </si>
  <si>
    <t>10.92</t>
  </si>
  <si>
    <t>10.93</t>
  </si>
  <si>
    <t>10.94</t>
  </si>
  <si>
    <t>10.95</t>
  </si>
  <si>
    <t>10.96</t>
  </si>
  <si>
    <t>10.97</t>
  </si>
  <si>
    <t>10.98</t>
  </si>
  <si>
    <t>10.99</t>
  </si>
  <si>
    <t>10.50</t>
  </si>
  <si>
    <t>11.00</t>
  </si>
  <si>
    <t>11.01</t>
  </si>
  <si>
    <t>11.02</t>
  </si>
  <si>
    <t>11.03</t>
  </si>
  <si>
    <t>11.04</t>
  </si>
  <si>
    <t>11.05</t>
  </si>
  <si>
    <t>11.06</t>
  </si>
  <si>
    <t>11.07</t>
  </si>
  <si>
    <t>11.08</t>
  </si>
  <si>
    <t>11.09</t>
  </si>
  <si>
    <t>11.10</t>
  </si>
  <si>
    <t>11.11</t>
  </si>
  <si>
    <t>11.12</t>
  </si>
  <si>
    <t>11.13</t>
  </si>
  <si>
    <t>11.14</t>
  </si>
  <si>
    <t>11.15</t>
  </si>
  <si>
    <t>11.16</t>
  </si>
  <si>
    <t>11.17</t>
  </si>
  <si>
    <t>11.18</t>
  </si>
  <si>
    <t>11.19</t>
  </si>
  <si>
    <t>11.20</t>
  </si>
  <si>
    <t>11.21</t>
  </si>
  <si>
    <t>11.22</t>
  </si>
  <si>
    <t>11.23</t>
  </si>
  <si>
    <t>11.24</t>
  </si>
  <si>
    <t>11.25</t>
  </si>
  <si>
    <t>11.26</t>
  </si>
  <si>
    <t>11.27</t>
  </si>
  <si>
    <t>11.28</t>
  </si>
  <si>
    <t>11.29</t>
  </si>
  <si>
    <t>11.30</t>
  </si>
  <si>
    <t>11.31</t>
  </si>
  <si>
    <t>11.32</t>
  </si>
  <si>
    <t>11.33</t>
  </si>
  <si>
    <t>11.34</t>
  </si>
  <si>
    <t>11.35</t>
  </si>
  <si>
    <t>11.36</t>
  </si>
  <si>
    <t>11.37</t>
  </si>
  <si>
    <t>11.38</t>
  </si>
  <si>
    <t>11.39</t>
  </si>
  <si>
    <t>11.40</t>
  </si>
  <si>
    <t>11.41</t>
  </si>
  <si>
    <t>11.42</t>
  </si>
  <si>
    <t>11.43</t>
  </si>
  <si>
    <t>11.44</t>
  </si>
  <si>
    <t>11.45</t>
  </si>
  <si>
    <t>11.46</t>
  </si>
  <si>
    <t>11.47</t>
  </si>
  <si>
    <t>11.48</t>
  </si>
  <si>
    <t>11.49</t>
  </si>
  <si>
    <t>11.50</t>
  </si>
  <si>
    <t>11.51</t>
  </si>
  <si>
    <t>11.52</t>
  </si>
  <si>
    <t>11.53</t>
  </si>
  <si>
    <t>11.54</t>
  </si>
  <si>
    <t>11.55</t>
  </si>
  <si>
    <t>11.56</t>
  </si>
  <si>
    <t>11.57</t>
  </si>
  <si>
    <t>11.58</t>
  </si>
  <si>
    <t>11.59</t>
  </si>
  <si>
    <t>11.60</t>
  </si>
  <si>
    <t>11.61</t>
  </si>
  <si>
    <t>11.62</t>
  </si>
  <si>
    <t>11.63</t>
  </si>
  <si>
    <t>11.64</t>
  </si>
  <si>
    <t>11.65</t>
  </si>
  <si>
    <t>11.66</t>
  </si>
  <si>
    <t>11.67</t>
  </si>
  <si>
    <t>11.68</t>
  </si>
  <si>
    <t>11.69</t>
  </si>
  <si>
    <t>11.70</t>
  </si>
  <si>
    <t>11.71</t>
  </si>
  <si>
    <t>11.72</t>
  </si>
  <si>
    <t>11.73</t>
  </si>
  <si>
    <t>11.74</t>
  </si>
  <si>
    <t>11.75</t>
  </si>
  <si>
    <t>11.76</t>
  </si>
  <si>
    <t>11.77</t>
  </si>
  <si>
    <t>11.78</t>
  </si>
  <si>
    <t>11.79</t>
  </si>
  <si>
    <t>11.80</t>
  </si>
  <si>
    <t>11.81</t>
  </si>
  <si>
    <t>11.82</t>
  </si>
  <si>
    <t>11.83</t>
  </si>
  <si>
    <t>11.84</t>
  </si>
  <si>
    <t>11.85</t>
  </si>
  <si>
    <t>11.86</t>
  </si>
  <si>
    <t>11.87</t>
  </si>
  <si>
    <t>11.88</t>
  </si>
  <si>
    <t>11.89</t>
  </si>
  <si>
    <t>11.90</t>
  </si>
  <si>
    <t>11.91</t>
  </si>
  <si>
    <t>11.92</t>
  </si>
  <si>
    <t>11.93</t>
  </si>
  <si>
    <t>11.94</t>
  </si>
  <si>
    <t>11.95</t>
  </si>
  <si>
    <t>11.96</t>
  </si>
  <si>
    <t>11.97</t>
  </si>
  <si>
    <t>11.98</t>
  </si>
  <si>
    <t>11.99</t>
  </si>
  <si>
    <t>12.00</t>
  </si>
  <si>
    <t>12.50</t>
  </si>
  <si>
    <t>13.00</t>
  </si>
  <si>
    <t>13.50</t>
  </si>
  <si>
    <t>14.00</t>
  </si>
  <si>
    <t>14.50</t>
  </si>
  <si>
    <t>12.01</t>
  </si>
  <si>
    <t>12.51</t>
  </si>
  <si>
    <t>13.01</t>
  </si>
  <si>
    <t>13.51</t>
  </si>
  <si>
    <t>14.01</t>
  </si>
  <si>
    <t>14.51</t>
  </si>
  <si>
    <t>12.02</t>
  </si>
  <si>
    <t>12.03</t>
  </si>
  <si>
    <t>12.04</t>
  </si>
  <si>
    <t>12.05</t>
  </si>
  <si>
    <t>12.06</t>
  </si>
  <si>
    <t>12.07</t>
  </si>
  <si>
    <t>12.08</t>
  </si>
  <si>
    <t>12.09</t>
  </si>
  <si>
    <t>12.10</t>
  </si>
  <si>
    <t>12.11</t>
  </si>
  <si>
    <t>12.12</t>
  </si>
  <si>
    <t>12.13</t>
  </si>
  <si>
    <t>12.14</t>
  </si>
  <si>
    <t>12.15</t>
  </si>
  <si>
    <t>12.16</t>
  </si>
  <si>
    <t>12.17</t>
  </si>
  <si>
    <t>12.18</t>
  </si>
  <si>
    <t>12.19</t>
  </si>
  <si>
    <t>12.20</t>
  </si>
  <si>
    <t>12.21</t>
  </si>
  <si>
    <t>12.22</t>
  </si>
  <si>
    <t>12.23</t>
  </si>
  <si>
    <t>12.24</t>
  </si>
  <si>
    <t>12.25</t>
  </si>
  <si>
    <t>12.26</t>
  </si>
  <si>
    <t>12.27</t>
  </si>
  <si>
    <t>12.28</t>
  </si>
  <si>
    <t>12.29</t>
  </si>
  <si>
    <t>12.30</t>
  </si>
  <si>
    <t>12.31</t>
  </si>
  <si>
    <t>12.32</t>
  </si>
  <si>
    <t>12.33</t>
  </si>
  <si>
    <t>12.34</t>
  </si>
  <si>
    <t>12.35</t>
  </si>
  <si>
    <t>12.36</t>
  </si>
  <si>
    <t>12.37</t>
  </si>
  <si>
    <t>12.38</t>
  </si>
  <si>
    <t>12.39</t>
  </si>
  <si>
    <t>12.40</t>
  </si>
  <si>
    <t>12.41</t>
  </si>
  <si>
    <t>12.42</t>
  </si>
  <si>
    <t>12.43</t>
  </si>
  <si>
    <t>12.44</t>
  </si>
  <si>
    <t>12.45</t>
  </si>
  <si>
    <t>12.46</t>
  </si>
  <si>
    <t>12.47</t>
  </si>
  <si>
    <t>12.48</t>
  </si>
  <si>
    <t>12.49</t>
  </si>
  <si>
    <t>12.52</t>
  </si>
  <si>
    <t>12.53</t>
  </si>
  <si>
    <t>12.54</t>
  </si>
  <si>
    <t>12.55</t>
  </si>
  <si>
    <t>12.56</t>
  </si>
  <si>
    <t>12.57</t>
  </si>
  <si>
    <t>12.58</t>
  </si>
  <si>
    <t>12.59</t>
  </si>
  <si>
    <t>12.60</t>
  </si>
  <si>
    <t>12.61</t>
  </si>
  <si>
    <t>12.62</t>
  </si>
  <si>
    <t>12.63</t>
  </si>
  <si>
    <t>12.64</t>
  </si>
  <si>
    <t>12.65</t>
  </si>
  <si>
    <t>12.66</t>
  </si>
  <si>
    <t>12.67</t>
  </si>
  <si>
    <t>12.68</t>
  </si>
  <si>
    <t>12.69</t>
  </si>
  <si>
    <t>12.70</t>
  </si>
  <si>
    <t>12.71</t>
  </si>
  <si>
    <t>12.72</t>
  </si>
  <si>
    <t>12.73</t>
  </si>
  <si>
    <t>12.74</t>
  </si>
  <si>
    <t>12.75</t>
  </si>
  <si>
    <t>12.76</t>
  </si>
  <si>
    <t>12.77</t>
  </si>
  <si>
    <t>12.78</t>
  </si>
  <si>
    <t>12.79</t>
  </si>
  <si>
    <t>12.80</t>
  </si>
  <si>
    <t>12.81</t>
  </si>
  <si>
    <t>12.82</t>
  </si>
  <si>
    <t>12.83</t>
  </si>
  <si>
    <t>12.84</t>
  </si>
  <si>
    <t>12.85</t>
  </si>
  <si>
    <t>12.86</t>
  </si>
  <si>
    <t>12.87</t>
  </si>
  <si>
    <t>12.88</t>
  </si>
  <si>
    <t>12.89</t>
  </si>
  <si>
    <t>12.90</t>
  </si>
  <si>
    <t>12.91</t>
  </si>
  <si>
    <t>12.92</t>
  </si>
  <si>
    <t>12.93</t>
  </si>
  <si>
    <t>12.94</t>
  </si>
  <si>
    <t>12.95</t>
  </si>
  <si>
    <t>12.96</t>
  </si>
  <si>
    <t>12.97</t>
  </si>
  <si>
    <t>12.98</t>
  </si>
  <si>
    <t>12.99</t>
  </si>
  <si>
    <t>13.02</t>
  </si>
  <si>
    <t>13.03</t>
  </si>
  <si>
    <t>13.04</t>
  </si>
  <si>
    <t>13.05</t>
  </si>
  <si>
    <t>13.06</t>
  </si>
  <si>
    <t>13.07</t>
  </si>
  <si>
    <t>13.08</t>
  </si>
  <si>
    <t>13.09</t>
  </si>
  <si>
    <t>13.10</t>
  </si>
  <si>
    <t>13.11</t>
  </si>
  <si>
    <t>13.12</t>
  </si>
  <si>
    <t>13.13</t>
  </si>
  <si>
    <t>13.14</t>
  </si>
  <si>
    <t>13.15</t>
  </si>
  <si>
    <t>13.16</t>
  </si>
  <si>
    <t>13.17</t>
  </si>
  <si>
    <t>13.18</t>
  </si>
  <si>
    <t>13.19</t>
  </si>
  <si>
    <t>13.20</t>
  </si>
  <si>
    <t>13.21</t>
  </si>
  <si>
    <t>13.22</t>
  </si>
  <si>
    <t>13.23</t>
  </si>
  <si>
    <t>13.24</t>
  </si>
  <si>
    <t>13.25</t>
  </si>
  <si>
    <t>13.26</t>
  </si>
  <si>
    <t>13.27</t>
  </si>
  <si>
    <t>13.28</t>
  </si>
  <si>
    <t>13.29</t>
  </si>
  <si>
    <t>13.30</t>
  </si>
  <si>
    <t>13.31</t>
  </si>
  <si>
    <t>13.32</t>
  </si>
  <si>
    <t>13.33</t>
  </si>
  <si>
    <t>13.34</t>
  </si>
  <si>
    <t>13.35</t>
  </si>
  <si>
    <t>13.36</t>
  </si>
  <si>
    <t>13.37</t>
  </si>
  <si>
    <t>13.38</t>
  </si>
  <si>
    <t>13.39</t>
  </si>
  <si>
    <t>13.40</t>
  </si>
  <si>
    <t>13.41</t>
  </si>
  <si>
    <t>13.42</t>
  </si>
  <si>
    <t>13.43</t>
  </si>
  <si>
    <t>13.44</t>
  </si>
  <si>
    <t>13.45</t>
  </si>
  <si>
    <t>13.46</t>
  </si>
  <si>
    <t>13.47</t>
  </si>
  <si>
    <t>13.48</t>
  </si>
  <si>
    <t>13.49</t>
  </si>
  <si>
    <t>13.52</t>
  </si>
  <si>
    <t>13.53</t>
  </si>
  <si>
    <t>13.54</t>
  </si>
  <si>
    <t>13.55</t>
  </si>
  <si>
    <t>13.56</t>
  </si>
  <si>
    <t>13.57</t>
  </si>
  <si>
    <t>13.58</t>
  </si>
  <si>
    <t>13.59</t>
  </si>
  <si>
    <t>13.60</t>
  </si>
  <si>
    <t>13.61</t>
  </si>
  <si>
    <t>13.62</t>
  </si>
  <si>
    <t>13.63</t>
  </si>
  <si>
    <t>13.64</t>
  </si>
  <si>
    <t>13.65</t>
  </si>
  <si>
    <t>13.66</t>
  </si>
  <si>
    <t>13.67</t>
  </si>
  <si>
    <t>13.68</t>
  </si>
  <si>
    <t>13.69</t>
  </si>
  <si>
    <t>13.70</t>
  </si>
  <si>
    <t>13.71</t>
  </si>
  <si>
    <t>13.72</t>
  </si>
  <si>
    <t>13.73</t>
  </si>
  <si>
    <t>13.74</t>
  </si>
  <si>
    <t>13.75</t>
  </si>
  <si>
    <t>13.76</t>
  </si>
  <si>
    <t>13.77</t>
  </si>
  <si>
    <t>13.78</t>
  </si>
  <si>
    <t>13.79</t>
  </si>
  <si>
    <t>13.80</t>
  </si>
  <si>
    <t>13.81</t>
  </si>
  <si>
    <t>13.82</t>
  </si>
  <si>
    <t>13.83</t>
  </si>
  <si>
    <t>13.84</t>
  </si>
  <si>
    <t>13.85</t>
  </si>
  <si>
    <t>13.86</t>
  </si>
  <si>
    <t>13.87</t>
  </si>
  <si>
    <t>13.88</t>
  </si>
  <si>
    <t>13.89</t>
  </si>
  <si>
    <t>13.90</t>
  </si>
  <si>
    <t>13.91</t>
  </si>
  <si>
    <t>13.92</t>
  </si>
  <si>
    <t>13.93</t>
  </si>
  <si>
    <t>13.94</t>
  </si>
  <si>
    <t>13.95</t>
  </si>
  <si>
    <t>13.96</t>
  </si>
  <si>
    <t>13.97</t>
  </si>
  <si>
    <t>13.98</t>
  </si>
  <si>
    <t>13.99</t>
  </si>
  <si>
    <t>14.02</t>
  </si>
  <si>
    <t>14.03</t>
  </si>
  <si>
    <t>14.04</t>
  </si>
  <si>
    <t>14.05</t>
  </si>
  <si>
    <t>14.06</t>
  </si>
  <si>
    <t>14.07</t>
  </si>
  <si>
    <t>14.08</t>
  </si>
  <si>
    <t>14.09</t>
  </si>
  <si>
    <t>14.10</t>
  </si>
  <si>
    <t>14.11</t>
  </si>
  <si>
    <t>14.12</t>
  </si>
  <si>
    <t>14.13</t>
  </si>
  <si>
    <t>14.14</t>
  </si>
  <si>
    <t>14.15</t>
  </si>
  <si>
    <t>14.16</t>
  </si>
  <si>
    <t>14.17</t>
  </si>
  <si>
    <t>14.18</t>
  </si>
  <si>
    <t>14.19</t>
  </si>
  <si>
    <t>14.20</t>
  </si>
  <si>
    <t>14.21</t>
  </si>
  <si>
    <t>14.22</t>
  </si>
  <si>
    <t>14.23</t>
  </si>
  <si>
    <t>14.24</t>
  </si>
  <si>
    <t>14.25</t>
  </si>
  <si>
    <t>14.26</t>
  </si>
  <si>
    <t>14.27</t>
  </si>
  <si>
    <t>14.28</t>
  </si>
  <si>
    <t>14.29</t>
  </si>
  <si>
    <t>14.30</t>
  </si>
  <si>
    <t>14.31</t>
  </si>
  <si>
    <t>14.32</t>
  </si>
  <si>
    <t>14.33</t>
  </si>
  <si>
    <t>14.34</t>
  </si>
  <si>
    <t>14.35</t>
  </si>
  <si>
    <t>14.36</t>
  </si>
  <si>
    <t>14.37</t>
  </si>
  <si>
    <t>14.38</t>
  </si>
  <si>
    <t>14.39</t>
  </si>
  <si>
    <t>14.40</t>
  </si>
  <si>
    <t>14.41</t>
  </si>
  <si>
    <t>14.42</t>
  </si>
  <si>
    <t>14.43</t>
  </si>
  <si>
    <t>14.44</t>
  </si>
  <si>
    <t>14.45</t>
  </si>
  <si>
    <t>14.46</t>
  </si>
  <si>
    <t>14.47</t>
  </si>
  <si>
    <t>14.48</t>
  </si>
  <si>
    <t>14.49</t>
  </si>
  <si>
    <t>14.52</t>
  </si>
  <si>
    <t>14.53</t>
  </si>
  <si>
    <t>14.54</t>
  </si>
  <si>
    <t>14.55</t>
  </si>
  <si>
    <t>14.56</t>
  </si>
  <si>
    <t>14.57</t>
  </si>
  <si>
    <t>14.58</t>
  </si>
  <si>
    <t>14.59</t>
  </si>
  <si>
    <t>14.60</t>
  </si>
  <si>
    <t>14.61</t>
  </si>
  <si>
    <t>14.62</t>
  </si>
  <si>
    <t>14.63</t>
  </si>
  <si>
    <t>14.64</t>
  </si>
  <si>
    <t>14.65</t>
  </si>
  <si>
    <t>14.66</t>
  </si>
  <si>
    <t>14.67</t>
  </si>
  <si>
    <t>14.68</t>
  </si>
  <si>
    <t>14.69</t>
  </si>
  <si>
    <t>14.70</t>
  </si>
  <si>
    <t>14.71</t>
  </si>
  <si>
    <t>14.72</t>
  </si>
  <si>
    <t>14.73</t>
  </si>
  <si>
    <t>14.74</t>
  </si>
  <si>
    <t>14.75</t>
  </si>
  <si>
    <t>14.76</t>
  </si>
  <si>
    <t>14.77</t>
  </si>
  <si>
    <t>14.78</t>
  </si>
  <si>
    <t>14.79</t>
  </si>
  <si>
    <t>14.80</t>
  </si>
  <si>
    <t>14.81</t>
  </si>
  <si>
    <t>14.82</t>
  </si>
  <si>
    <t>14.83</t>
  </si>
  <si>
    <t>14.84</t>
  </si>
  <si>
    <t>14.85</t>
  </si>
  <si>
    <t>14.86</t>
  </si>
  <si>
    <t>14.87</t>
  </si>
  <si>
    <t>14.88</t>
  </si>
  <si>
    <t>14.89</t>
  </si>
  <si>
    <t>14.90</t>
  </si>
  <si>
    <t>14.91</t>
  </si>
  <si>
    <t>14.92</t>
  </si>
  <si>
    <t>14.93</t>
  </si>
  <si>
    <t>14.94</t>
  </si>
  <si>
    <t>14.95</t>
  </si>
  <si>
    <t>14.96</t>
  </si>
  <si>
    <t>14.97</t>
  </si>
  <si>
    <t>14.98</t>
  </si>
  <si>
    <t>14.99</t>
  </si>
  <si>
    <t>Persen</t>
  </si>
  <si>
    <t>15.00</t>
  </si>
  <si>
    <t>15.91</t>
  </si>
  <si>
    <t>15.01</t>
  </si>
  <si>
    <t>15.02</t>
  </si>
  <si>
    <t>15.03</t>
  </si>
  <si>
    <t>15.04</t>
  </si>
  <si>
    <t>15.05</t>
  </si>
  <si>
    <t>15.06</t>
  </si>
  <si>
    <t>15.07</t>
  </si>
  <si>
    <t>15.08</t>
  </si>
  <si>
    <t>15.09</t>
  </si>
  <si>
    <t>15.10</t>
  </si>
  <si>
    <t>15.11</t>
  </si>
  <si>
    <t>15.12</t>
  </si>
  <si>
    <t>15.13</t>
  </si>
  <si>
    <t>15.14</t>
  </si>
  <si>
    <t>15.15</t>
  </si>
  <si>
    <t>15.16</t>
  </si>
  <si>
    <t>15.17</t>
  </si>
  <si>
    <t>15.18</t>
  </si>
  <si>
    <t>15.19</t>
  </si>
  <si>
    <t>15.20</t>
  </si>
  <si>
    <t>15.21</t>
  </si>
  <si>
    <t>15.22</t>
  </si>
  <si>
    <t>15.23</t>
  </si>
  <si>
    <t>15.24</t>
  </si>
  <si>
    <t>15.25</t>
  </si>
  <si>
    <t>15.26</t>
  </si>
  <si>
    <t>15.27</t>
  </si>
  <si>
    <t>15.28</t>
  </si>
  <si>
    <t>15.29</t>
  </si>
  <si>
    <t>15.30</t>
  </si>
  <si>
    <t>15.31</t>
  </si>
  <si>
    <t>15.32</t>
  </si>
  <si>
    <t>15.33</t>
  </si>
  <si>
    <t>15.34</t>
  </si>
  <si>
    <t>15.35</t>
  </si>
  <si>
    <t>15.36</t>
  </si>
  <si>
    <t>15.37</t>
  </si>
  <si>
    <t>15.38</t>
  </si>
  <si>
    <t>15.39</t>
  </si>
  <si>
    <t>15.40</t>
  </si>
  <si>
    <t>15.41</t>
  </si>
  <si>
    <t>15.42</t>
  </si>
  <si>
    <t>15.43</t>
  </si>
  <si>
    <t>15.44</t>
  </si>
  <si>
    <t>15.45</t>
  </si>
  <si>
    <t>15.46</t>
  </si>
  <si>
    <t>15.47</t>
  </si>
  <si>
    <t>15.48</t>
  </si>
  <si>
    <t>15.49</t>
  </si>
  <si>
    <t>15.50</t>
  </si>
  <si>
    <t>15.51</t>
  </si>
  <si>
    <t>15.52</t>
  </si>
  <si>
    <t>15.53</t>
  </si>
  <si>
    <t>15.54</t>
  </si>
  <si>
    <t>15.55</t>
  </si>
  <si>
    <t>15.56</t>
  </si>
  <si>
    <t>15.57</t>
  </si>
  <si>
    <t>15.58</t>
  </si>
  <si>
    <t>15.59</t>
  </si>
  <si>
    <t>15.60</t>
  </si>
  <si>
    <t>15.61</t>
  </si>
  <si>
    <t>15.62</t>
  </si>
  <si>
    <t>15.63</t>
  </si>
  <si>
    <t>15.64</t>
  </si>
  <si>
    <t>15.65</t>
  </si>
  <si>
    <t>15.66</t>
  </si>
  <si>
    <t>15.67</t>
  </si>
  <si>
    <t>15.68</t>
  </si>
  <si>
    <t>15.69</t>
  </si>
  <si>
    <t>15.70</t>
  </si>
  <si>
    <t>15.71</t>
  </si>
  <si>
    <t>15.72</t>
  </si>
  <si>
    <t>15.73</t>
  </si>
  <si>
    <t>15.74</t>
  </si>
  <si>
    <t>15.75</t>
  </si>
  <si>
    <t>15.76</t>
  </si>
  <si>
    <t>15.77</t>
  </si>
  <si>
    <t>15.78</t>
  </si>
  <si>
    <t>15.79</t>
  </si>
  <si>
    <t>15.80</t>
  </si>
  <si>
    <t>15.81</t>
  </si>
  <si>
    <t>15.82</t>
  </si>
  <si>
    <t>15.83</t>
  </si>
  <si>
    <t>15.84</t>
  </si>
  <si>
    <t>15.85</t>
  </si>
  <si>
    <t>15.86</t>
  </si>
  <si>
    <t>15.87</t>
  </si>
  <si>
    <t>15.88</t>
  </si>
  <si>
    <t>15.89</t>
  </si>
  <si>
    <t>15.90</t>
  </si>
  <si>
    <t>15.92</t>
  </si>
  <si>
    <t>15.93</t>
  </si>
  <si>
    <t>15.94</t>
  </si>
  <si>
    <t>15.95</t>
  </si>
  <si>
    <t>15.96</t>
  </si>
  <si>
    <t>15.97</t>
  </si>
  <si>
    <t>15.98</t>
  </si>
  <si>
    <t>15.99</t>
  </si>
  <si>
    <t>16.00</t>
  </si>
  <si>
    <t>16.01</t>
  </si>
  <si>
    <t>16.02</t>
  </si>
  <si>
    <t>16.03</t>
  </si>
  <si>
    <t>16.04</t>
  </si>
  <si>
    <t>16.05</t>
  </si>
  <si>
    <t>16.06</t>
  </si>
  <si>
    <t>16.07</t>
  </si>
  <si>
    <t>16.08</t>
  </si>
  <si>
    <t>16.09</t>
  </si>
  <si>
    <t>16.10</t>
  </si>
  <si>
    <t>16.11</t>
  </si>
  <si>
    <t>16.12</t>
  </si>
  <si>
    <t>16.13</t>
  </si>
  <si>
    <t>16.14</t>
  </si>
  <si>
    <t>16.15</t>
  </si>
  <si>
    <t>16.16</t>
  </si>
  <si>
    <t>16.17</t>
  </si>
  <si>
    <t>16.18</t>
  </si>
  <si>
    <t>16.19</t>
  </si>
  <si>
    <t>16.20</t>
  </si>
  <si>
    <t>16.21</t>
  </si>
  <si>
    <t>16.22</t>
  </si>
  <si>
    <t>16.23</t>
  </si>
  <si>
    <t>16.24</t>
  </si>
  <si>
    <t>16.25</t>
  </si>
  <si>
    <t>16.26</t>
  </si>
  <si>
    <t>16.27</t>
  </si>
  <si>
    <t>16.28</t>
  </si>
  <si>
    <t>16.29</t>
  </si>
  <si>
    <t>16.30</t>
  </si>
  <si>
    <t>16.31</t>
  </si>
  <si>
    <t>16.32</t>
  </si>
  <si>
    <t>16.33</t>
  </si>
  <si>
    <t>16.34</t>
  </si>
  <si>
    <t>16.35</t>
  </si>
  <si>
    <t>16.36</t>
  </si>
  <si>
    <t>16.37</t>
  </si>
  <si>
    <t>16.38</t>
  </si>
  <si>
    <t>16.39</t>
  </si>
  <si>
    <t>16.40</t>
  </si>
  <si>
    <t>16.41</t>
  </si>
  <si>
    <t>16.42</t>
  </si>
  <si>
    <t>16.43</t>
  </si>
  <si>
    <t>16.44</t>
  </si>
  <si>
    <t>16.45</t>
  </si>
  <si>
    <t>16.46</t>
  </si>
  <si>
    <t>16.47</t>
  </si>
  <si>
    <t>16.48</t>
  </si>
  <si>
    <t>16.49</t>
  </si>
  <si>
    <t>16.51</t>
  </si>
  <si>
    <t>16.50</t>
  </si>
  <si>
    <t>16.52</t>
  </si>
  <si>
    <t>16.53</t>
  </si>
  <si>
    <t>16.54</t>
  </si>
  <si>
    <t>16.55</t>
  </si>
  <si>
    <t>16.56</t>
  </si>
  <si>
    <t>16.57</t>
  </si>
  <si>
    <t>16.58</t>
  </si>
  <si>
    <t>16.59</t>
  </si>
  <si>
    <t>16.60</t>
  </si>
  <si>
    <t>16.61</t>
  </si>
  <si>
    <t>16.62</t>
  </si>
  <si>
    <t>16.63</t>
  </si>
  <si>
    <t>16.64</t>
  </si>
  <si>
    <t>16.65</t>
  </si>
  <si>
    <t>16.66</t>
  </si>
  <si>
    <t>16.67</t>
  </si>
  <si>
    <t>16.68</t>
  </si>
  <si>
    <t>16.69</t>
  </si>
  <si>
    <t>16.70</t>
  </si>
  <si>
    <t>16.71</t>
  </si>
  <si>
    <t>16.72</t>
  </si>
  <si>
    <t>16.73</t>
  </si>
  <si>
    <t>16.74</t>
  </si>
  <si>
    <t>16.75</t>
  </si>
  <si>
    <t>16.76</t>
  </si>
  <si>
    <t>16.77</t>
  </si>
  <si>
    <t>16.78</t>
  </si>
  <si>
    <t>16.79</t>
  </si>
  <si>
    <t>16.80</t>
  </si>
  <si>
    <t>16.81</t>
  </si>
  <si>
    <t>16.82</t>
  </si>
  <si>
    <t>16.83</t>
  </si>
  <si>
    <t>16.84</t>
  </si>
  <si>
    <t>16.85</t>
  </si>
  <si>
    <t>16.86</t>
  </si>
  <si>
    <t>16.87</t>
  </si>
  <si>
    <t>16.88</t>
  </si>
  <si>
    <t>16.89</t>
  </si>
  <si>
    <t>16.90</t>
  </si>
  <si>
    <t>16.91</t>
  </si>
  <si>
    <t>16.92</t>
  </si>
  <si>
    <t>16.93</t>
  </si>
  <si>
    <t>16.94</t>
  </si>
  <si>
    <t>16.95</t>
  </si>
  <si>
    <t>16.96</t>
  </si>
  <si>
    <t>16.97</t>
  </si>
  <si>
    <t>16.98</t>
  </si>
  <si>
    <t>16.99</t>
  </si>
  <si>
    <t>17.00</t>
  </si>
  <si>
    <t>17.01</t>
  </si>
  <si>
    <t>17.02</t>
  </si>
  <si>
    <t>17.03</t>
  </si>
  <si>
    <t>17.04</t>
  </si>
  <si>
    <t>17.05</t>
  </si>
  <si>
    <t>17.06</t>
  </si>
  <si>
    <t>17.07</t>
  </si>
  <si>
    <t>17.08</t>
  </si>
  <si>
    <t>17.09</t>
  </si>
  <si>
    <t>17.10</t>
  </si>
  <si>
    <t>17.11</t>
  </si>
  <si>
    <t>17.12</t>
  </si>
  <si>
    <t>17.13</t>
  </si>
  <si>
    <t>17.14</t>
  </si>
  <si>
    <t>17.15</t>
  </si>
  <si>
    <t>17.16</t>
  </si>
  <si>
    <t>17.17</t>
  </si>
  <si>
    <t>17.18</t>
  </si>
  <si>
    <t>17.19</t>
  </si>
  <si>
    <t>17.20</t>
  </si>
  <si>
    <t>17.21</t>
  </si>
  <si>
    <t>17.22</t>
  </si>
  <si>
    <t>17.23</t>
  </si>
  <si>
    <t>17.24</t>
  </si>
  <si>
    <t>17.25</t>
  </si>
  <si>
    <t>17.26</t>
  </si>
  <si>
    <t>17.27</t>
  </si>
  <si>
    <t>17.28</t>
  </si>
  <si>
    <t>17.29</t>
  </si>
  <si>
    <t>17.30</t>
  </si>
  <si>
    <t>17.31</t>
  </si>
  <si>
    <t>17.32</t>
  </si>
  <si>
    <t>17.33</t>
  </si>
  <si>
    <t>17.34</t>
  </si>
  <si>
    <t>17.35</t>
  </si>
  <si>
    <t>17.36</t>
  </si>
  <si>
    <t>17.37</t>
  </si>
  <si>
    <t>17.38</t>
  </si>
  <si>
    <t>17.39</t>
  </si>
  <si>
    <t>17.40</t>
  </si>
  <si>
    <t>17.41</t>
  </si>
  <si>
    <t>17.42</t>
  </si>
  <si>
    <t>17.43</t>
  </si>
  <si>
    <t>17.44</t>
  </si>
  <si>
    <t>17.45</t>
  </si>
  <si>
    <t>17.46</t>
  </si>
  <si>
    <t>17.47</t>
  </si>
  <si>
    <t>17.48</t>
  </si>
  <si>
    <t>17.49</t>
  </si>
  <si>
    <t>17.50</t>
  </si>
  <si>
    <t>17.51</t>
  </si>
  <si>
    <t>17.52</t>
  </si>
  <si>
    <t>17.53</t>
  </si>
  <si>
    <t>17.54</t>
  </si>
  <si>
    <t>17.55</t>
  </si>
  <si>
    <t>17.56</t>
  </si>
  <si>
    <t>17.57</t>
  </si>
  <si>
    <t>17.58</t>
  </si>
  <si>
    <t>17.59</t>
  </si>
  <si>
    <t>17.60</t>
  </si>
  <si>
    <t>17.61</t>
  </si>
  <si>
    <t>17.62</t>
  </si>
  <si>
    <t>17.63</t>
  </si>
  <si>
    <t>17.64</t>
  </si>
  <si>
    <t>17.65</t>
  </si>
  <si>
    <t>17.66</t>
  </si>
  <si>
    <t>17.67</t>
  </si>
  <si>
    <t>17.68</t>
  </si>
  <si>
    <t>17.69</t>
  </si>
  <si>
    <t>17.70</t>
  </si>
  <si>
    <t>17.71</t>
  </si>
  <si>
    <t>17.72</t>
  </si>
  <si>
    <t>17.73</t>
  </si>
  <si>
    <t>17.74</t>
  </si>
  <si>
    <t>17.75</t>
  </si>
  <si>
    <t>17.76</t>
  </si>
  <si>
    <t>17.77</t>
  </si>
  <si>
    <t>17.78</t>
  </si>
  <si>
    <t>17.79</t>
  </si>
  <si>
    <t>17.80</t>
  </si>
  <si>
    <t>17.81</t>
  </si>
  <si>
    <t>17.82</t>
  </si>
  <si>
    <t>17.83</t>
  </si>
  <si>
    <t>17.84</t>
  </si>
  <si>
    <t>17.85</t>
  </si>
  <si>
    <t>17.86</t>
  </si>
  <si>
    <t>17.87</t>
  </si>
  <si>
    <t>17.88</t>
  </si>
  <si>
    <t>17.89</t>
  </si>
  <si>
    <t>17.90</t>
  </si>
  <si>
    <t>17.91</t>
  </si>
  <si>
    <t>17.92</t>
  </si>
  <si>
    <t>17.93</t>
  </si>
  <si>
    <t>17.94</t>
  </si>
  <si>
    <t>17.95</t>
  </si>
  <si>
    <t>17.96</t>
  </si>
  <si>
    <t>17.97</t>
  </si>
  <si>
    <t>17.98</t>
  </si>
  <si>
    <t>17.99</t>
  </si>
  <si>
    <t>18.00</t>
  </si>
  <si>
    <t>18.01</t>
  </si>
  <si>
    <t>18.02</t>
  </si>
  <si>
    <t>18.03</t>
  </si>
  <si>
    <t>18.04</t>
  </si>
  <si>
    <t>18.05</t>
  </si>
  <si>
    <t>18.06</t>
  </si>
  <si>
    <t>18.07</t>
  </si>
  <si>
    <t>18.08</t>
  </si>
  <si>
    <t>18.09</t>
  </si>
  <si>
    <t>18.10</t>
  </si>
  <si>
    <t>18.11</t>
  </si>
  <si>
    <t>18.12</t>
  </si>
  <si>
    <t>18.13</t>
  </si>
  <si>
    <t>18.14</t>
  </si>
  <si>
    <t>18.15</t>
  </si>
  <si>
    <t>18.16</t>
  </si>
  <si>
    <t>18.17</t>
  </si>
  <si>
    <t>18.18</t>
  </si>
  <si>
    <t>18.19</t>
  </si>
  <si>
    <t>18.20</t>
  </si>
  <si>
    <t>18.21</t>
  </si>
  <si>
    <t>18.22</t>
  </si>
  <si>
    <t>18.23</t>
  </si>
  <si>
    <t>18.24</t>
  </si>
  <si>
    <t>18.25</t>
  </si>
  <si>
    <t>18.26</t>
  </si>
  <si>
    <t>18.27</t>
  </si>
  <si>
    <t>18.28</t>
  </si>
  <si>
    <t>18.29</t>
  </si>
  <si>
    <t>18.30</t>
  </si>
  <si>
    <t>18.31</t>
  </si>
  <si>
    <t>18.32</t>
  </si>
  <si>
    <t>18.33</t>
  </si>
  <si>
    <t>18.34</t>
  </si>
  <si>
    <t>18.35</t>
  </si>
  <si>
    <t>18.36</t>
  </si>
  <si>
    <t>18.37</t>
  </si>
  <si>
    <t>18.38</t>
  </si>
  <si>
    <t>18.39</t>
  </si>
  <si>
    <t>18.40</t>
  </si>
  <si>
    <t>18.41</t>
  </si>
  <si>
    <t>18.42</t>
  </si>
  <si>
    <t>18.43</t>
  </si>
  <si>
    <t>18.44</t>
  </si>
  <si>
    <t>18.45</t>
  </si>
  <si>
    <t>18.46</t>
  </si>
  <si>
    <t>18.47</t>
  </si>
  <si>
    <t>18.48</t>
  </si>
  <si>
    <t>18.49</t>
  </si>
  <si>
    <t>18.50</t>
  </si>
  <si>
    <t>18.51</t>
  </si>
  <si>
    <t>18.52</t>
  </si>
  <si>
    <t>18.53</t>
  </si>
  <si>
    <t>18.54</t>
  </si>
  <si>
    <t>18.55</t>
  </si>
  <si>
    <t>18.56</t>
  </si>
  <si>
    <t>18.57</t>
  </si>
  <si>
    <t>18.58</t>
  </si>
  <si>
    <t>18.59</t>
  </si>
  <si>
    <t>18.60</t>
  </si>
  <si>
    <t>18.61</t>
  </si>
  <si>
    <t>18.62</t>
  </si>
  <si>
    <t>18.63</t>
  </si>
  <si>
    <t>18.64</t>
  </si>
  <si>
    <t>18.65</t>
  </si>
  <si>
    <t>18.66</t>
  </si>
  <si>
    <t>18.67</t>
  </si>
  <si>
    <t>18.68</t>
  </si>
  <si>
    <t>18.69</t>
  </si>
  <si>
    <t>18.70</t>
  </si>
  <si>
    <t>18.71</t>
  </si>
  <si>
    <t>18.72</t>
  </si>
  <si>
    <t>18.73</t>
  </si>
  <si>
    <t>18.74</t>
  </si>
  <si>
    <t>18.75</t>
  </si>
  <si>
    <t>18.76</t>
  </si>
  <si>
    <t>18.77</t>
  </si>
  <si>
    <t>18.78</t>
  </si>
  <si>
    <t>18.79</t>
  </si>
  <si>
    <t>18.80</t>
  </si>
  <si>
    <t>18.81</t>
  </si>
  <si>
    <t>18.82</t>
  </si>
  <si>
    <t>18.83</t>
  </si>
  <si>
    <t>18.84</t>
  </si>
  <si>
    <t>18.85</t>
  </si>
  <si>
    <t>18.86</t>
  </si>
  <si>
    <t>18.87</t>
  </si>
  <si>
    <t>18.88</t>
  </si>
  <si>
    <t>18.89</t>
  </si>
  <si>
    <t>18.90</t>
  </si>
  <si>
    <t>18.91</t>
  </si>
  <si>
    <t>18.92</t>
  </si>
  <si>
    <t>18.93</t>
  </si>
  <si>
    <t>18.94</t>
  </si>
  <si>
    <t>18.95</t>
  </si>
  <si>
    <t>18.96</t>
  </si>
  <si>
    <t>18.97</t>
  </si>
  <si>
    <t>18.98</t>
  </si>
  <si>
    <t>18.99</t>
  </si>
  <si>
    <t>19.00</t>
  </si>
  <si>
    <t>19.01</t>
  </si>
  <si>
    <t>19.02</t>
  </si>
  <si>
    <t>19.03</t>
  </si>
  <si>
    <t>19.04</t>
  </si>
  <si>
    <t>19.05</t>
  </si>
  <si>
    <t>19.06</t>
  </si>
  <si>
    <t>19.07</t>
  </si>
  <si>
    <t>19.08</t>
  </si>
  <si>
    <t>19.09</t>
  </si>
  <si>
    <t>19.10</t>
  </si>
  <si>
    <t>19.11</t>
  </si>
  <si>
    <t>19.12</t>
  </si>
  <si>
    <t>19.13</t>
  </si>
  <si>
    <t>19.14</t>
  </si>
  <si>
    <t>19.15</t>
  </si>
  <si>
    <t>19.16</t>
  </si>
  <si>
    <t>19.17</t>
  </si>
  <si>
    <t>19.18</t>
  </si>
  <si>
    <t>19.19</t>
  </si>
  <si>
    <t>19.20</t>
  </si>
  <si>
    <t>19.21</t>
  </si>
  <si>
    <t>19.22</t>
  </si>
  <si>
    <t>19.23</t>
  </si>
  <si>
    <t>19.24</t>
  </si>
  <si>
    <t>19.25</t>
  </si>
  <si>
    <t>19.26</t>
  </si>
  <si>
    <t>19.27</t>
  </si>
  <si>
    <t>19.28</t>
  </si>
  <si>
    <t>19.29</t>
  </si>
  <si>
    <t>19.30</t>
  </si>
  <si>
    <t>19.31</t>
  </si>
  <si>
    <t>19.32</t>
  </si>
  <si>
    <t>19.33</t>
  </si>
  <si>
    <t>19.34</t>
  </si>
  <si>
    <t>19.35</t>
  </si>
  <si>
    <t>19.36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</si>
</sst>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&quot; K&quot;"/>
  </numFmts>
  <fonts count="24" x14ac:knownFonts="1">
    <font>
      <sz val="11"/>
      <color theme="1"/>
      <name val="Calibri"/>
      <family val="2"/>
      <charset val="1"/>
    </font>
    <font>
      <sz val="10"/>
      <name val="Arial"/>
    </font>
    <font>
      <b/>
      <sz val="14"/>
      <color rgb="FF8B6F1A"/>
      <name val="Arial"/>
      <charset val="1"/>
    </font>
    <font>
      <i/>
      <sz val="11"/>
      <color rgb="FF555555"/>
      <name val="Arial"/>
      <charset val="1"/>
    </font>
    <font>
      <sz val="10"/>
      <color rgb="FF333333"/>
      <name val="Arial"/>
      <charset val="1"/>
    </font>
    <font>
      <b/>
      <sz val="11"/>
      <color rgb="FF8B6F1A"/>
      <name val="Arial"/>
      <charset val="1"/>
    </font>
    <font>
      <b/>
      <sz val="10"/>
      <color rgb="FF000000"/>
      <name val="Arial"/>
      <charset val="1"/>
    </font>
    <font>
      <b/>
      <sz val="13"/>
      <color rgb="FF8B6F1A"/>
      <name val="Arial"/>
      <charset val="1"/>
    </font>
    <font>
      <b/>
      <sz val="12"/>
      <color rgb="FFFFFFFF"/>
      <name val="Arial"/>
      <charset val="1"/>
    </font>
    <font>
      <sz val="11"/>
      <color rgb="FF000000"/>
      <name val="Arial"/>
      <charset val="1"/>
    </font>
    <font>
      <b/>
      <sz val="11"/>
      <color rgb="FF0000FF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4"/>
      <color rgb="FF0000FF"/>
      <name val="Arial"/>
      <charset val="1"/>
    </font>
    <font>
      <b/>
      <sz val="16"/>
      <color rgb="FF8B6F1A"/>
      <name val="Arial"/>
      <charset val="1"/>
    </font>
    <font>
      <b/>
      <sz val="10"/>
      <color rgb="FF8B6F1A"/>
      <name val="Arial"/>
      <charset val="1"/>
    </font>
    <font>
      <b/>
      <sz val="11"/>
      <color rgb="FFB33A3A"/>
      <name val="Arial"/>
      <charset val="1"/>
    </font>
    <font>
      <sz val="8"/>
      <name val="Calibri"/>
      <family val="2"/>
      <charset val="1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8B6F1A"/>
        <bgColor rgb="FF666666"/>
      </patternFill>
    </fill>
    <fill>
      <patternFill patternType="solid">
        <fgColor rgb="FFFFF6DC"/>
        <bgColor rgb="FFFFFFFF"/>
      </patternFill>
    </fill>
    <fill>
      <patternFill patternType="solid">
        <fgColor rgb="FFEAF2FF"/>
        <bgColor rgb="FFFFFFFF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rgb="FF8B6F1A"/>
      </left>
      <right style="medium">
        <color rgb="FF8B6F1A"/>
      </right>
      <top style="medium">
        <color rgb="FF8B6F1A"/>
      </top>
      <bottom style="medium">
        <color rgb="FF8B6F1A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11" fillId="0" borderId="0" xfId="0" applyFont="1"/>
    <xf numFmtId="0" fontId="7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8" fillId="2" borderId="1" xfId="0" applyFont="1" applyFill="1" applyBorder="1" applyAlignment="1">
      <alignment horizontal="center"/>
    </xf>
    <xf numFmtId="0" fontId="9" fillId="0" borderId="1" xfId="0" applyFont="1" applyBorder="1"/>
    <xf numFmtId="164" fontId="10" fillId="0" borderId="1" xfId="0" applyNumberFormat="1" applyFont="1" applyBorder="1" applyAlignment="1">
      <alignment horizontal="center"/>
    </xf>
    <xf numFmtId="0" fontId="11" fillId="0" borderId="1" xfId="0" applyFont="1" applyBorder="1"/>
    <xf numFmtId="0" fontId="12" fillId="2" borderId="2" xfId="0" applyFont="1" applyFill="1" applyBorder="1" applyAlignment="1">
      <alignment horizontal="center" vertical="center"/>
    </xf>
    <xf numFmtId="0" fontId="13" fillId="0" borderId="0" xfId="0" applyFont="1"/>
    <xf numFmtId="2" fontId="14" fillId="0" borderId="2" xfId="0" applyNumberFormat="1" applyFont="1" applyBorder="1" applyAlignment="1">
      <alignment horizontal="center" vertical="center"/>
    </xf>
    <xf numFmtId="10" fontId="15" fillId="0" borderId="2" xfId="0" applyNumberFormat="1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4" fillId="3" borderId="2" xfId="0" applyNumberFormat="1" applyFont="1" applyFill="1" applyBorder="1" applyAlignment="1">
      <alignment horizontal="center" vertical="center"/>
    </xf>
    <xf numFmtId="10" fontId="15" fillId="3" borderId="2" xfId="0" applyNumberFormat="1" applyFont="1" applyFill="1" applyBorder="1" applyAlignment="1">
      <alignment horizontal="center" vertical="center"/>
    </xf>
    <xf numFmtId="2" fontId="15" fillId="3" borderId="2" xfId="0" applyNumberFormat="1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9" fillId="0" borderId="0" xfId="0" applyFont="1"/>
    <xf numFmtId="165" fontId="16" fillId="4" borderId="3" xfId="0" applyNumberFormat="1" applyFont="1" applyFill="1" applyBorder="1" applyAlignment="1">
      <alignment horizontal="center"/>
    </xf>
    <xf numFmtId="0" fontId="9" fillId="0" borderId="0" xfId="0" applyFont="1" applyAlignment="1">
      <alignment vertical="center" wrapText="1"/>
    </xf>
    <xf numFmtId="164" fontId="17" fillId="3" borderId="3" xfId="0" applyNumberFormat="1" applyFont="1" applyFill="1" applyBorder="1" applyAlignment="1">
      <alignment horizontal="center"/>
    </xf>
    <xf numFmtId="10" fontId="17" fillId="3" borderId="3" xfId="0" applyNumberFormat="1" applyFont="1" applyFill="1" applyBorder="1" applyAlignment="1">
      <alignment horizontal="center"/>
    </xf>
    <xf numFmtId="166" fontId="17" fillId="3" borderId="3" xfId="0" applyNumberFormat="1" applyFont="1" applyFill="1" applyBorder="1" applyAlignment="1">
      <alignment horizontal="center"/>
    </xf>
    <xf numFmtId="0" fontId="18" fillId="0" borderId="0" xfId="0" applyFont="1"/>
    <xf numFmtId="0" fontId="21" fillId="0" borderId="4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10" fontId="22" fillId="0" borderId="7" xfId="1" applyNumberFormat="1" applyFont="1" applyBorder="1" applyAlignment="1">
      <alignment horizontal="center" vertical="center"/>
    </xf>
    <xf numFmtId="10" fontId="23" fillId="0" borderId="7" xfId="1" applyNumberFormat="1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10" fontId="22" fillId="0" borderId="9" xfId="1" applyNumberFormat="1" applyFont="1" applyBorder="1" applyAlignment="1">
      <alignment horizontal="center" vertical="center"/>
    </xf>
    <xf numFmtId="10" fontId="23" fillId="0" borderId="9" xfId="1" applyNumberFormat="1" applyFont="1" applyBorder="1" applyAlignment="1">
      <alignment horizontal="center" vertical="center"/>
    </xf>
    <xf numFmtId="0" fontId="7" fillId="0" borderId="0" xfId="0" applyFont="1"/>
    <xf numFmtId="0" fontId="11" fillId="0" borderId="0" xfId="0" applyFont="1"/>
    <xf numFmtId="0" fontId="2" fillId="0" borderId="0" xfId="0" applyFont="1"/>
    <xf numFmtId="0" fontId="5" fillId="0" borderId="0" xfId="0" applyFont="1"/>
    <xf numFmtId="0" fontId="19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6F1A"/>
      <rgbColor rgb="FF800080"/>
      <rgbColor rgb="FF008080"/>
      <rgbColor rgb="FFCCCCCC"/>
      <rgbColor rgb="FF808080"/>
      <rgbColor rgb="FF9999FF"/>
      <rgbColor rgb="FFB33A3A"/>
      <rgbColor rgb="FFFFF6DC"/>
      <rgbColor rgb="FFEAF2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5555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1"/>
  <sheetViews>
    <sheetView showGridLines="0" zoomScaleNormal="100" workbookViewId="0"/>
  </sheetViews>
  <sheetFormatPr defaultColWidth="8.7109375" defaultRowHeight="15" x14ac:dyDescent="0.25"/>
  <cols>
    <col min="1" max="1" width="95" customWidth="1"/>
  </cols>
  <sheetData>
    <row r="1" spans="1:1" ht="18" x14ac:dyDescent="0.25">
      <c r="A1" s="1" t="s">
        <v>0</v>
      </c>
    </row>
    <row r="2" spans="1:1" x14ac:dyDescent="0.25">
      <c r="A2" s="4" t="s">
        <v>1</v>
      </c>
    </row>
    <row r="3" spans="1:1" x14ac:dyDescent="0.25">
      <c r="A3" s="5"/>
    </row>
    <row r="4" spans="1:1" x14ac:dyDescent="0.25">
      <c r="A4" s="6" t="s">
        <v>2</v>
      </c>
    </row>
    <row r="5" spans="1:1" x14ac:dyDescent="0.25">
      <c r="A5" s="7" t="s">
        <v>3</v>
      </c>
    </row>
    <row r="6" spans="1:1" x14ac:dyDescent="0.25">
      <c r="A6" s="5"/>
    </row>
    <row r="7" spans="1:1" x14ac:dyDescent="0.25">
      <c r="A7" s="7" t="s">
        <v>4</v>
      </c>
    </row>
    <row r="8" spans="1:1" x14ac:dyDescent="0.25">
      <c r="A8" s="5"/>
    </row>
    <row r="9" spans="1:1" x14ac:dyDescent="0.25">
      <c r="A9" s="6" t="s">
        <v>5</v>
      </c>
    </row>
    <row r="10" spans="1:1" x14ac:dyDescent="0.25">
      <c r="A10" s="5" t="s">
        <v>6</v>
      </c>
    </row>
    <row r="11" spans="1:1" x14ac:dyDescent="0.25">
      <c r="A11" s="5" t="s">
        <v>7</v>
      </c>
    </row>
    <row r="12" spans="1:1" x14ac:dyDescent="0.25">
      <c r="A12" s="5"/>
    </row>
    <row r="13" spans="1:1" x14ac:dyDescent="0.25">
      <c r="A13" s="5" t="s">
        <v>8</v>
      </c>
    </row>
    <row r="14" spans="1:1" x14ac:dyDescent="0.25">
      <c r="A14" s="5" t="s">
        <v>9</v>
      </c>
    </row>
    <row r="15" spans="1:1" x14ac:dyDescent="0.25">
      <c r="A15" s="5" t="s">
        <v>10</v>
      </c>
    </row>
    <row r="16" spans="1:1" x14ac:dyDescent="0.25">
      <c r="A16" s="5" t="s">
        <v>11</v>
      </c>
    </row>
    <row r="17" spans="1:1" x14ac:dyDescent="0.25">
      <c r="A17" s="5" t="s">
        <v>12</v>
      </c>
    </row>
    <row r="18" spans="1:1" x14ac:dyDescent="0.25">
      <c r="A18" s="5"/>
    </row>
    <row r="19" spans="1:1" x14ac:dyDescent="0.25">
      <c r="A19" s="6" t="s">
        <v>13</v>
      </c>
    </row>
    <row r="20" spans="1:1" x14ac:dyDescent="0.25">
      <c r="A20" s="5" t="s">
        <v>14</v>
      </c>
    </row>
    <row r="21" spans="1:1" x14ac:dyDescent="0.25">
      <c r="A21" s="5" t="s">
        <v>15</v>
      </c>
    </row>
    <row r="22" spans="1:1" x14ac:dyDescent="0.25">
      <c r="A22" s="5" t="s">
        <v>16</v>
      </c>
    </row>
    <row r="23" spans="1:1" x14ac:dyDescent="0.25">
      <c r="A23" s="5" t="s">
        <v>17</v>
      </c>
    </row>
    <row r="24" spans="1:1" x14ac:dyDescent="0.25">
      <c r="A24" s="5" t="s">
        <v>18</v>
      </c>
    </row>
    <row r="25" spans="1:1" x14ac:dyDescent="0.25">
      <c r="A25" s="5" t="s">
        <v>19</v>
      </c>
    </row>
    <row r="26" spans="1:1" x14ac:dyDescent="0.25">
      <c r="A26" s="5"/>
    </row>
    <row r="27" spans="1:1" x14ac:dyDescent="0.25">
      <c r="A27" s="6" t="s">
        <v>20</v>
      </c>
    </row>
    <row r="28" spans="1:1" x14ac:dyDescent="0.25">
      <c r="A28" s="5" t="s">
        <v>21</v>
      </c>
    </row>
    <row r="29" spans="1:1" x14ac:dyDescent="0.25">
      <c r="A29" s="5" t="s">
        <v>22</v>
      </c>
    </row>
    <row r="30" spans="1:1" x14ac:dyDescent="0.25">
      <c r="A30" s="5" t="s">
        <v>23</v>
      </c>
    </row>
    <row r="31" spans="1:1" x14ac:dyDescent="0.25">
      <c r="A31" s="5" t="s">
        <v>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showGridLines="0" zoomScaleNormal="100" workbookViewId="0"/>
  </sheetViews>
  <sheetFormatPr defaultColWidth="8.7109375" defaultRowHeight="15" x14ac:dyDescent="0.25"/>
  <cols>
    <col min="1" max="1" width="38" customWidth="1"/>
    <col min="2" max="2" width="16" customWidth="1"/>
    <col min="3" max="3" width="55" customWidth="1"/>
  </cols>
  <sheetData>
    <row r="1" spans="1:3" ht="16.5" x14ac:dyDescent="0.25">
      <c r="A1" s="3" t="s">
        <v>25</v>
      </c>
    </row>
    <row r="3" spans="1:3" ht="15.75" x14ac:dyDescent="0.25">
      <c r="A3" s="8" t="s">
        <v>26</v>
      </c>
      <c r="B3" s="8" t="s">
        <v>27</v>
      </c>
      <c r="C3" s="8" t="s">
        <v>28</v>
      </c>
    </row>
    <row r="4" spans="1:3" x14ac:dyDescent="0.25">
      <c r="A4" s="9" t="s">
        <v>29</v>
      </c>
      <c r="B4" s="10">
        <v>19.362500000000001</v>
      </c>
      <c r="C4" s="11" t="s">
        <v>30</v>
      </c>
    </row>
    <row r="5" spans="1:3" x14ac:dyDescent="0.25">
      <c r="A5" s="9" t="s">
        <v>31</v>
      </c>
      <c r="B5" s="10">
        <v>8.8795000000000002</v>
      </c>
      <c r="C5" s="11" t="s">
        <v>32</v>
      </c>
    </row>
    <row r="6" spans="1:3" x14ac:dyDescent="0.25">
      <c r="A6" s="9" t="s">
        <v>33</v>
      </c>
      <c r="B6" s="10">
        <v>1</v>
      </c>
      <c r="C6" s="11" t="s">
        <v>34</v>
      </c>
    </row>
    <row r="8" spans="1:3" x14ac:dyDescent="0.25">
      <c r="A8" s="2" t="s">
        <v>35</v>
      </c>
    </row>
    <row r="9" spans="1:3" x14ac:dyDescent="0.25">
      <c r="A9" s="2" t="s">
        <v>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89"/>
  <sheetViews>
    <sheetView showGridLines="0" zoomScaleNormal="100" workbookViewId="0">
      <pane ySplit="3" topLeftCell="A487" activePane="bottomLeft" state="frozen"/>
      <selection pane="bottomLeft" activeCell="D462" sqref="D462"/>
    </sheetView>
  </sheetViews>
  <sheetFormatPr defaultColWidth="8.7109375" defaultRowHeight="15" x14ac:dyDescent="0.25"/>
  <cols>
    <col min="1" max="1" width="16" customWidth="1"/>
    <col min="2" max="2" width="18" customWidth="1"/>
    <col min="3" max="3" width="12" customWidth="1"/>
    <col min="4" max="4" width="20" customWidth="1"/>
  </cols>
  <sheetData>
    <row r="1" spans="1:6" ht="16.5" x14ac:dyDescent="0.25">
      <c r="A1" s="38" t="s">
        <v>37</v>
      </c>
      <c r="B1" s="38"/>
      <c r="C1" s="38"/>
      <c r="D1" s="38"/>
    </row>
    <row r="2" spans="1:6" x14ac:dyDescent="0.25">
      <c r="A2" s="39" t="s">
        <v>38</v>
      </c>
      <c r="B2" s="39"/>
      <c r="C2" s="39"/>
      <c r="D2" s="39"/>
    </row>
    <row r="3" spans="1:6" x14ac:dyDescent="0.25">
      <c r="A3" s="12" t="s">
        <v>39</v>
      </c>
      <c r="B3" s="12" t="s">
        <v>40</v>
      </c>
      <c r="C3" s="12" t="s">
        <v>41</v>
      </c>
      <c r="D3" s="12" t="s">
        <v>42</v>
      </c>
      <c r="F3" s="13" t="s">
        <v>43</v>
      </c>
    </row>
    <row r="4" spans="1:6" x14ac:dyDescent="0.25">
      <c r="A4" s="14">
        <v>10.51</v>
      </c>
      <c r="B4" s="15">
        <f>((1/A4)-(1/Konstanta!$B$5))/((1/Konstanta!$B$4)-(1/Konstanta!$B$5))</f>
        <v>0.28654572402257339</v>
      </c>
      <c r="C4" s="16">
        <f t="shared" ref="C4:C67" si="0">B4*24</f>
        <v>6.8770973765417613</v>
      </c>
      <c r="D4" s="17" t="str">
        <f t="shared" ref="D4:D67" si="1">IF(ROUND(C4,0)=24,"24K (murni)",IF(ROUND(C4,0)&gt;=22,"~22K",IF(ROUND(C4,0)&gt;=18,"~18K",IF(ROUND(C4,0)&gt;=14,"~14K","&lt;14K"))))</f>
        <v>&lt;14K</v>
      </c>
      <c r="F4" s="2" t="s">
        <v>44</v>
      </c>
    </row>
    <row r="5" spans="1:6" x14ac:dyDescent="0.25">
      <c r="A5" s="14">
        <v>10.52</v>
      </c>
      <c r="B5" s="15">
        <f>((1/A5)-(1/Konstanta!$B$5))/((1/Konstanta!$B$4)-(1/Konstanta!$B$5))</f>
        <v>0.28802908175793557</v>
      </c>
      <c r="C5" s="16">
        <f t="shared" si="0"/>
        <v>6.9126979621904532</v>
      </c>
      <c r="D5" s="17" t="str">
        <f t="shared" si="1"/>
        <v>&lt;14K</v>
      </c>
      <c r="F5" s="2" t="s">
        <v>45</v>
      </c>
    </row>
    <row r="6" spans="1:6" x14ac:dyDescent="0.25">
      <c r="A6" s="14">
        <v>10.53</v>
      </c>
      <c r="B6" s="15">
        <f>((1/A6)-(1/Konstanta!$B$5))/((1/Konstanta!$B$4)-(1/Konstanta!$B$5))</f>
        <v>0.28950962209968834</v>
      </c>
      <c r="C6" s="16">
        <f t="shared" si="0"/>
        <v>6.94823093039252</v>
      </c>
      <c r="D6" s="17" t="str">
        <f t="shared" si="1"/>
        <v>&lt;14K</v>
      </c>
    </row>
    <row r="7" spans="1:6" x14ac:dyDescent="0.25">
      <c r="A7" s="14">
        <v>10.54</v>
      </c>
      <c r="B7" s="15">
        <f>((1/A7)-(1/Konstanta!$B$5))/((1/Konstanta!$B$4)-(1/Konstanta!$B$5))</f>
        <v>0.29098735306697865</v>
      </c>
      <c r="C7" s="16">
        <f t="shared" si="0"/>
        <v>6.9836964736074876</v>
      </c>
      <c r="D7" s="17" t="str">
        <f t="shared" si="1"/>
        <v>&lt;14K</v>
      </c>
    </row>
    <row r="8" spans="1:6" x14ac:dyDescent="0.25">
      <c r="A8" s="14">
        <v>10.55</v>
      </c>
      <c r="B8" s="15">
        <f>((1/A8)-(1/Konstanta!$B$5))/((1/Konstanta!$B$4)-(1/Konstanta!$B$5))</f>
        <v>0.29246228264854901</v>
      </c>
      <c r="C8" s="16">
        <f t="shared" si="0"/>
        <v>7.0190947835651762</v>
      </c>
      <c r="D8" s="17" t="str">
        <f t="shared" si="1"/>
        <v>&lt;14K</v>
      </c>
    </row>
    <row r="9" spans="1:6" x14ac:dyDescent="0.25">
      <c r="A9" s="14">
        <v>10.56</v>
      </c>
      <c r="B9" s="15">
        <f>((1/A9)-(1/Konstanta!$B$5))/((1/Konstanta!$B$4)-(1/Konstanta!$B$5))</f>
        <v>0.29393441880288135</v>
      </c>
      <c r="C9" s="16">
        <f t="shared" si="0"/>
        <v>7.0544260512691519</v>
      </c>
      <c r="D9" s="17" t="str">
        <f t="shared" si="1"/>
        <v>&lt;14K</v>
      </c>
    </row>
    <row r="10" spans="1:6" x14ac:dyDescent="0.25">
      <c r="A10" s="14">
        <v>10.57</v>
      </c>
      <c r="B10" s="15">
        <f>((1/A10)-(1/Konstanta!$B$5))/((1/Konstanta!$B$4)-(1/Konstanta!$B$5))</f>
        <v>0.29540376945834079</v>
      </c>
      <c r="C10" s="16">
        <f t="shared" si="0"/>
        <v>7.089690467000179</v>
      </c>
      <c r="D10" s="17" t="str">
        <f t="shared" si="1"/>
        <v>&lt;14K</v>
      </c>
    </row>
    <row r="11" spans="1:6" x14ac:dyDescent="0.25">
      <c r="A11" s="14">
        <v>10.58</v>
      </c>
      <c r="B11" s="15">
        <f>((1/A11)-(1/Konstanta!$B$5))/((1/Konstanta!$B$4)-(1/Konstanta!$B$5))</f>
        <v>0.29687034251331745</v>
      </c>
      <c r="C11" s="16">
        <f t="shared" si="0"/>
        <v>7.1248882203196189</v>
      </c>
      <c r="D11" s="17" t="str">
        <f t="shared" si="1"/>
        <v>&lt;14K</v>
      </c>
    </row>
    <row r="12" spans="1:6" x14ac:dyDescent="0.25">
      <c r="A12" s="14">
        <v>10.59</v>
      </c>
      <c r="B12" s="15">
        <f>((1/A12)-(1/Konstanta!$B$5))/((1/Konstanta!$B$4)-(1/Konstanta!$B$5))</f>
        <v>0.29833414583636764</v>
      </c>
      <c r="C12" s="16">
        <f t="shared" si="0"/>
        <v>7.1600195000728233</v>
      </c>
      <c r="D12" s="17" t="str">
        <f t="shared" si="1"/>
        <v>&lt;14K</v>
      </c>
    </row>
    <row r="13" spans="1:6" x14ac:dyDescent="0.25">
      <c r="A13" s="14">
        <v>10.6</v>
      </c>
      <c r="B13" s="15">
        <f>((1/A13)-(1/Konstanta!$B$5))/((1/Konstanta!$B$4)-(1/Konstanta!$B$5))</f>
        <v>0.29979518726635557</v>
      </c>
      <c r="C13" s="16">
        <f t="shared" si="0"/>
        <v>7.1950844943925336</v>
      </c>
      <c r="D13" s="17" t="str">
        <f t="shared" si="1"/>
        <v>&lt;14K</v>
      </c>
    </row>
    <row r="14" spans="1:6" x14ac:dyDescent="0.25">
      <c r="A14" s="14">
        <v>10.61</v>
      </c>
      <c r="B14" s="15">
        <f>((1/A14)-(1/Konstanta!$B$5))/((1/Konstanta!$B$4)-(1/Konstanta!$B$5))</f>
        <v>0.30125347461259228</v>
      </c>
      <c r="C14" s="16">
        <f t="shared" si="0"/>
        <v>7.2300833907022142</v>
      </c>
      <c r="D14" s="17" t="str">
        <f t="shared" si="1"/>
        <v>&lt;14K</v>
      </c>
    </row>
    <row r="15" spans="1:6" x14ac:dyDescent="0.25">
      <c r="A15" s="14">
        <v>10.62</v>
      </c>
      <c r="B15" s="15">
        <f>((1/A15)-(1/Konstanta!$B$5))/((1/Konstanta!$B$4)-(1/Konstanta!$B$5))</f>
        <v>0.30270901565497549</v>
      </c>
      <c r="C15" s="16">
        <f t="shared" si="0"/>
        <v>7.2650163757194122</v>
      </c>
      <c r="D15" s="17" t="str">
        <f t="shared" si="1"/>
        <v>&lt;14K</v>
      </c>
    </row>
    <row r="16" spans="1:6" x14ac:dyDescent="0.25">
      <c r="A16" s="14">
        <v>10.63</v>
      </c>
      <c r="B16" s="15">
        <f>((1/A16)-(1/Konstanta!$B$5))/((1/Konstanta!$B$4)-(1/Konstanta!$B$5))</f>
        <v>0.30416181814412774</v>
      </c>
      <c r="C16" s="16">
        <f t="shared" si="0"/>
        <v>7.2998836354590662</v>
      </c>
      <c r="D16" s="17" t="str">
        <f t="shared" si="1"/>
        <v>&lt;14K</v>
      </c>
    </row>
    <row r="17" spans="1:4" x14ac:dyDescent="0.25">
      <c r="A17" s="14">
        <v>10.64</v>
      </c>
      <c r="B17" s="15">
        <f>((1/A17)-(1/Konstanta!$B$5))/((1/Konstanta!$B$4)-(1/Konstanta!$B$5))</f>
        <v>0.30561188980153331</v>
      </c>
      <c r="C17" s="16">
        <f t="shared" si="0"/>
        <v>7.3346853552367994</v>
      </c>
      <c r="D17" s="17" t="str">
        <f t="shared" si="1"/>
        <v>&lt;14K</v>
      </c>
    </row>
    <row r="18" spans="1:4" x14ac:dyDescent="0.25">
      <c r="A18" s="14">
        <v>10.65</v>
      </c>
      <c r="B18" s="15">
        <f>((1/A18)-(1/Konstanta!$B$5))/((1/Konstanta!$B$4)-(1/Konstanta!$B$5))</f>
        <v>0.30705923831967608</v>
      </c>
      <c r="C18" s="16">
        <f t="shared" si="0"/>
        <v>7.3694217196722258</v>
      </c>
      <c r="D18" s="17" t="str">
        <f t="shared" si="1"/>
        <v>&lt;14K</v>
      </c>
    </row>
    <row r="19" spans="1:4" x14ac:dyDescent="0.25">
      <c r="A19" s="14">
        <v>10.66</v>
      </c>
      <c r="B19" s="15">
        <f>((1/A19)-(1/Konstanta!$B$5))/((1/Konstanta!$B$4)-(1/Konstanta!$B$5))</f>
        <v>0.30850387136217505</v>
      </c>
      <c r="C19" s="16">
        <f t="shared" si="0"/>
        <v>7.4040929126922013</v>
      </c>
      <c r="D19" s="17" t="str">
        <f t="shared" si="1"/>
        <v>&lt;14K</v>
      </c>
    </row>
    <row r="20" spans="1:4" x14ac:dyDescent="0.25">
      <c r="A20" s="14">
        <v>10.67</v>
      </c>
      <c r="B20" s="15">
        <f>((1/A20)-(1/Konstanta!$B$5))/((1/Konstanta!$B$4)-(1/Konstanta!$B$5))</f>
        <v>0.30994579656391941</v>
      </c>
      <c r="C20" s="16">
        <f t="shared" si="0"/>
        <v>7.4386991175340658</v>
      </c>
      <c r="D20" s="17" t="str">
        <f t="shared" si="1"/>
        <v>&lt;14K</v>
      </c>
    </row>
    <row r="21" spans="1:4" x14ac:dyDescent="0.25">
      <c r="A21" s="14">
        <v>10.68</v>
      </c>
      <c r="B21" s="15">
        <f>((1/A21)-(1/Konstanta!$B$5))/((1/Konstanta!$B$4)-(1/Konstanta!$B$5))</f>
        <v>0.31138502153120368</v>
      </c>
      <c r="C21" s="16">
        <f t="shared" si="0"/>
        <v>7.4732405167488878</v>
      </c>
      <c r="D21" s="17" t="str">
        <f t="shared" si="1"/>
        <v>&lt;14K</v>
      </c>
    </row>
    <row r="22" spans="1:4" x14ac:dyDescent="0.25">
      <c r="A22" s="14">
        <v>10.69</v>
      </c>
      <c r="B22" s="15">
        <f>((1/A22)-(1/Konstanta!$B$5))/((1/Konstanta!$B$4)-(1/Konstanta!$B$5))</f>
        <v>0.31282155384186067</v>
      </c>
      <c r="C22" s="16">
        <f t="shared" si="0"/>
        <v>7.5077172922046564</v>
      </c>
      <c r="D22" s="17" t="str">
        <f t="shared" si="1"/>
        <v>&lt;14K</v>
      </c>
    </row>
    <row r="23" spans="1:4" x14ac:dyDescent="0.25">
      <c r="A23" s="14">
        <v>10.7</v>
      </c>
      <c r="B23" s="15">
        <f>((1/A23)-(1/Konstanta!$B$5))/((1/Konstanta!$B$4)-(1/Konstanta!$B$5))</f>
        <v>0.31425540104539501</v>
      </c>
      <c r="C23" s="16">
        <f t="shared" si="0"/>
        <v>7.5421296250894798</v>
      </c>
      <c r="D23" s="17" t="str">
        <f t="shared" si="1"/>
        <v>&lt;14K</v>
      </c>
    </row>
    <row r="24" spans="1:4" x14ac:dyDescent="0.25">
      <c r="A24" s="14">
        <v>10.71</v>
      </c>
      <c r="B24" s="15">
        <f>((1/A24)-(1/Konstanta!$B$5))/((1/Konstanta!$B$4)-(1/Konstanta!$B$5))</f>
        <v>0.31568657066311545</v>
      </c>
      <c r="C24" s="16">
        <f t="shared" si="0"/>
        <v>7.5764776959147708</v>
      </c>
      <c r="D24" s="17" t="str">
        <f t="shared" si="1"/>
        <v>&lt;14K</v>
      </c>
    </row>
    <row r="25" spans="1:4" x14ac:dyDescent="0.25">
      <c r="A25" s="14">
        <v>10.72</v>
      </c>
      <c r="B25" s="15">
        <f>((1/A25)-(1/Konstanta!$B$5))/((1/Konstanta!$B$4)-(1/Konstanta!$B$5))</f>
        <v>0.31711507018826507</v>
      </c>
      <c r="C25" s="16">
        <f t="shared" si="0"/>
        <v>7.6107616845183621</v>
      </c>
      <c r="D25" s="17" t="str">
        <f t="shared" si="1"/>
        <v>&lt;14K</v>
      </c>
    </row>
    <row r="26" spans="1:4" x14ac:dyDescent="0.25">
      <c r="A26" s="14">
        <v>10.73</v>
      </c>
      <c r="B26" s="15">
        <f>((1/A26)-(1/Konstanta!$B$5))/((1/Konstanta!$B$4)-(1/Konstanta!$B$5))</f>
        <v>0.31854090708615435</v>
      </c>
      <c r="C26" s="16">
        <f t="shared" si="0"/>
        <v>7.6449817700677043</v>
      </c>
      <c r="D26" s="17" t="str">
        <f t="shared" si="1"/>
        <v>&lt;14K</v>
      </c>
    </row>
    <row r="27" spans="1:4" x14ac:dyDescent="0.25">
      <c r="A27" s="14">
        <v>10.74</v>
      </c>
      <c r="B27" s="15">
        <f>((1/A27)-(1/Konstanta!$B$5))/((1/Konstanta!$B$4)-(1/Konstanta!$B$5))</f>
        <v>0.31996408879428972</v>
      </c>
      <c r="C27" s="16">
        <f t="shared" si="0"/>
        <v>7.6791381310629534</v>
      </c>
      <c r="D27" s="17" t="str">
        <f t="shared" si="1"/>
        <v>&lt;14K</v>
      </c>
    </row>
    <row r="28" spans="1:4" x14ac:dyDescent="0.25">
      <c r="A28" s="14">
        <v>10.75</v>
      </c>
      <c r="B28" s="15">
        <f>((1/A28)-(1/Konstanta!$B$5))/((1/Konstanta!$B$4)-(1/Konstanta!$B$5))</f>
        <v>0.32138462272250301</v>
      </c>
      <c r="C28" s="16">
        <f t="shared" si="0"/>
        <v>7.7132309453400723</v>
      </c>
      <c r="D28" s="17" t="str">
        <f t="shared" si="1"/>
        <v>&lt;14K</v>
      </c>
    </row>
    <row r="29" spans="1:4" x14ac:dyDescent="0.25">
      <c r="A29" s="14">
        <v>10.76</v>
      </c>
      <c r="B29" s="15">
        <f>((1/A29)-(1/Konstanta!$B$5))/((1/Konstanta!$B$4)-(1/Konstanta!$B$5))</f>
        <v>0.3228025162530801</v>
      </c>
      <c r="C29" s="16">
        <f t="shared" si="0"/>
        <v>7.7472603900739223</v>
      </c>
      <c r="D29" s="17" t="str">
        <f t="shared" si="1"/>
        <v>&lt;14K</v>
      </c>
    </row>
    <row r="30" spans="1:4" x14ac:dyDescent="0.25">
      <c r="A30" s="14">
        <v>10.77</v>
      </c>
      <c r="B30" s="15">
        <f>((1/A30)-(1/Konstanta!$B$5))/((1/Konstanta!$B$4)-(1/Konstanta!$B$5))</f>
        <v>0.32421777674088925</v>
      </c>
      <c r="C30" s="16">
        <f t="shared" si="0"/>
        <v>7.781226641781342</v>
      </c>
      <c r="D30" s="17" t="str">
        <f t="shared" si="1"/>
        <v>&lt;14K</v>
      </c>
    </row>
    <row r="31" spans="1:4" x14ac:dyDescent="0.25">
      <c r="A31" s="14">
        <v>10.78</v>
      </c>
      <c r="B31" s="15">
        <f>((1/A31)-(1/Konstanta!$B$5))/((1/Konstanta!$B$4)-(1/Konstanta!$B$5))</f>
        <v>0.32563041151350774</v>
      </c>
      <c r="C31" s="16">
        <f t="shared" si="0"/>
        <v>7.8151298763241854</v>
      </c>
      <c r="D31" s="17" t="str">
        <f t="shared" si="1"/>
        <v>&lt;14K</v>
      </c>
    </row>
    <row r="32" spans="1:4" x14ac:dyDescent="0.25">
      <c r="A32" s="14">
        <v>10.79</v>
      </c>
      <c r="B32" s="15">
        <f>((1/A32)-(1/Konstanta!$B$5))/((1/Konstanta!$B$4)-(1/Konstanta!$B$5))</f>
        <v>0.32704042787134835</v>
      </c>
      <c r="C32" s="16">
        <f t="shared" si="0"/>
        <v>7.8489702689123604</v>
      </c>
      <c r="D32" s="17" t="str">
        <f t="shared" si="1"/>
        <v>&lt;14K</v>
      </c>
    </row>
    <row r="33" spans="1:4" x14ac:dyDescent="0.25">
      <c r="A33" s="14">
        <v>10.8</v>
      </c>
      <c r="B33" s="15">
        <f>((1/A33)-(1/Konstanta!$B$5))/((1/Konstanta!$B$4)-(1/Konstanta!$B$5))</f>
        <v>0.32844783308778586</v>
      </c>
      <c r="C33" s="16">
        <f t="shared" si="0"/>
        <v>7.882747994106861</v>
      </c>
      <c r="D33" s="17" t="str">
        <f t="shared" si="1"/>
        <v>&lt;14K</v>
      </c>
    </row>
    <row r="34" spans="1:4" x14ac:dyDescent="0.25">
      <c r="A34" s="14">
        <v>10.81</v>
      </c>
      <c r="B34" s="15">
        <f>((1/A34)-(1/Konstanta!$B$5))/((1/Konstanta!$B$4)-(1/Konstanta!$B$5))</f>
        <v>0.32985263440928053</v>
      </c>
      <c r="C34" s="16">
        <f t="shared" si="0"/>
        <v>7.9164632258227332</v>
      </c>
      <c r="D34" s="17" t="str">
        <f t="shared" si="1"/>
        <v>&lt;14K</v>
      </c>
    </row>
    <row r="35" spans="1:4" x14ac:dyDescent="0.25">
      <c r="A35" s="14">
        <v>10.82</v>
      </c>
      <c r="B35" s="15">
        <f>((1/A35)-(1/Konstanta!$B$5))/((1/Konstanta!$B$4)-(1/Konstanta!$B$5))</f>
        <v>0.33125483905550435</v>
      </c>
      <c r="C35" s="16">
        <f t="shared" si="0"/>
        <v>7.9501161373321043</v>
      </c>
      <c r="D35" s="17" t="str">
        <f t="shared" si="1"/>
        <v>&lt;14K</v>
      </c>
    </row>
    <row r="36" spans="1:4" x14ac:dyDescent="0.25">
      <c r="A36" s="14">
        <v>10.83</v>
      </c>
      <c r="B36" s="15">
        <f>((1/A36)-(1/Konstanta!$B$5))/((1/Konstanta!$B$4)-(1/Konstanta!$B$5))</f>
        <v>0.33265445421946399</v>
      </c>
      <c r="C36" s="16">
        <f t="shared" si="0"/>
        <v>7.9837069012671353</v>
      </c>
      <c r="D36" s="17" t="str">
        <f t="shared" si="1"/>
        <v>&lt;14K</v>
      </c>
    </row>
    <row r="37" spans="1:4" x14ac:dyDescent="0.25">
      <c r="A37" s="14">
        <v>10.84</v>
      </c>
      <c r="B37" s="15">
        <f>((1/A37)-(1/Konstanta!$B$5))/((1/Konstanta!$B$4)-(1/Konstanta!$B$5))</f>
        <v>0.33405148706762267</v>
      </c>
      <c r="C37" s="16">
        <f t="shared" si="0"/>
        <v>8.0172356896229431</v>
      </c>
      <c r="D37" s="17" t="str">
        <f t="shared" si="1"/>
        <v>&lt;14K</v>
      </c>
    </row>
    <row r="38" spans="1:4" x14ac:dyDescent="0.25">
      <c r="A38" s="14">
        <v>10.85</v>
      </c>
      <c r="B38" s="15">
        <f>((1/A38)-(1/Konstanta!$B$5))/((1/Konstanta!$B$4)-(1/Konstanta!$B$5))</f>
        <v>0.33544594474002443</v>
      </c>
      <c r="C38" s="16">
        <f t="shared" si="0"/>
        <v>8.0507026737605862</v>
      </c>
      <c r="D38" s="17" t="str">
        <f t="shared" si="1"/>
        <v>&lt;14K</v>
      </c>
    </row>
    <row r="39" spans="1:4" x14ac:dyDescent="0.25">
      <c r="A39" s="14">
        <v>10.86</v>
      </c>
      <c r="B39" s="15">
        <f>((1/A39)-(1/Konstanta!$B$5))/((1/Konstanta!$B$4)-(1/Konstanta!$B$5))</f>
        <v>0.33683783435041448</v>
      </c>
      <c r="C39" s="16">
        <f t="shared" si="0"/>
        <v>8.0841080244099466</v>
      </c>
      <c r="D39" s="17" t="str">
        <f t="shared" si="1"/>
        <v>&lt;14K</v>
      </c>
    </row>
    <row r="40" spans="1:4" x14ac:dyDescent="0.25">
      <c r="A40" s="14">
        <v>10.87</v>
      </c>
      <c r="B40" s="15">
        <f>((1/A40)-(1/Konstanta!$B$5))/((1/Konstanta!$B$4)-(1/Konstanta!$B$5))</f>
        <v>0.33822716298636019</v>
      </c>
      <c r="C40" s="16">
        <f t="shared" si="0"/>
        <v>8.117451911672644</v>
      </c>
      <c r="D40" s="17" t="str">
        <f t="shared" si="1"/>
        <v>&lt;14K</v>
      </c>
    </row>
    <row r="41" spans="1:4" x14ac:dyDescent="0.25">
      <c r="A41" s="14">
        <v>10.88</v>
      </c>
      <c r="B41" s="15">
        <f>((1/A41)-(1/Konstanta!$B$5))/((1/Konstanta!$B$4)-(1/Konstanta!$B$5))</f>
        <v>0.33961393770937265</v>
      </c>
      <c r="C41" s="16">
        <f t="shared" si="0"/>
        <v>8.1507345050249427</v>
      </c>
      <c r="D41" s="17" t="str">
        <f t="shared" si="1"/>
        <v>&lt;14K</v>
      </c>
    </row>
    <row r="42" spans="1:4" x14ac:dyDescent="0.25">
      <c r="A42" s="14">
        <v>10.89</v>
      </c>
      <c r="B42" s="15">
        <f>((1/A42)-(1/Konstanta!$B$5))/((1/Konstanta!$B$4)-(1/Konstanta!$B$5))</f>
        <v>0.34099816555502388</v>
      </c>
      <c r="C42" s="16">
        <f t="shared" si="0"/>
        <v>8.1839559733205736</v>
      </c>
      <c r="D42" s="17" t="str">
        <f t="shared" si="1"/>
        <v>&lt;14K</v>
      </c>
    </row>
    <row r="43" spans="1:4" x14ac:dyDescent="0.25">
      <c r="A43" s="14">
        <v>10.9</v>
      </c>
      <c r="B43" s="15">
        <f>((1/A43)-(1/Konstanta!$B$5))/((1/Konstanta!$B$4)-(1/Konstanta!$B$5))</f>
        <v>0.34237985353306843</v>
      </c>
      <c r="C43" s="16">
        <f t="shared" si="0"/>
        <v>8.2171164847936424</v>
      </c>
      <c r="D43" s="17" t="str">
        <f t="shared" si="1"/>
        <v>&lt;14K</v>
      </c>
    </row>
    <row r="44" spans="1:4" x14ac:dyDescent="0.25">
      <c r="A44" s="14">
        <v>10.91</v>
      </c>
      <c r="B44" s="15">
        <f>((1/A44)-(1/Konstanta!$B$5))/((1/Konstanta!$B$4)-(1/Konstanta!$B$5))</f>
        <v>0.34375900862756009</v>
      </c>
      <c r="C44" s="16">
        <f t="shared" si="0"/>
        <v>8.2502162070614418</v>
      </c>
      <c r="D44" s="17" t="str">
        <f t="shared" si="1"/>
        <v>&lt;14K</v>
      </c>
    </row>
    <row r="45" spans="1:4" x14ac:dyDescent="0.25">
      <c r="A45" s="14">
        <v>10.92</v>
      </c>
      <c r="B45" s="15">
        <f>((1/A45)-(1/Konstanta!$B$5))/((1/Konstanta!$B$4)-(1/Konstanta!$B$5))</f>
        <v>0.34513563779697043</v>
      </c>
      <c r="C45" s="16">
        <f t="shared" si="0"/>
        <v>8.2832553071272912</v>
      </c>
      <c r="D45" s="17" t="str">
        <f t="shared" si="1"/>
        <v>&lt;14K</v>
      </c>
    </row>
    <row r="46" spans="1:4" x14ac:dyDescent="0.25">
      <c r="A46" s="14">
        <v>10.93</v>
      </c>
      <c r="B46" s="15">
        <f>((1/A46)-(1/Konstanta!$B$5))/((1/Konstanta!$B$4)-(1/Konstanta!$B$5))</f>
        <v>0.34650974797430473</v>
      </c>
      <c r="C46" s="16">
        <f t="shared" si="0"/>
        <v>8.3162339513833139</v>
      </c>
      <c r="D46" s="17" t="str">
        <f t="shared" si="1"/>
        <v>&lt;14K</v>
      </c>
    </row>
    <row r="47" spans="1:4" x14ac:dyDescent="0.25">
      <c r="A47" s="14">
        <v>10.94</v>
      </c>
      <c r="B47" s="15">
        <f>((1/A47)-(1/Konstanta!$B$5))/((1/Konstanta!$B$4)-(1/Konstanta!$B$5))</f>
        <v>0.3478813460672201</v>
      </c>
      <c r="C47" s="16">
        <f t="shared" si="0"/>
        <v>8.3491523056132824</v>
      </c>
      <c r="D47" s="17" t="str">
        <f t="shared" si="1"/>
        <v>&lt;14K</v>
      </c>
    </row>
    <row r="48" spans="1:4" x14ac:dyDescent="0.25">
      <c r="A48" s="14">
        <v>10.95</v>
      </c>
      <c r="B48" s="15">
        <f>((1/A48)-(1/Konstanta!$B$5))/((1/Konstanta!$B$4)-(1/Konstanta!$B$5))</f>
        <v>0.34925043895813901</v>
      </c>
      <c r="C48" s="16">
        <f t="shared" si="0"/>
        <v>8.3820105349953362</v>
      </c>
      <c r="D48" s="17" t="str">
        <f t="shared" si="1"/>
        <v>&lt;14K</v>
      </c>
    </row>
    <row r="49" spans="1:4" x14ac:dyDescent="0.25">
      <c r="A49" s="14">
        <v>10.96</v>
      </c>
      <c r="B49" s="15">
        <f>((1/A49)-(1/Konstanta!$B$5))/((1/Konstanta!$B$4)-(1/Konstanta!$B$5))</f>
        <v>0.35061703350436674</v>
      </c>
      <c r="C49" s="16">
        <f t="shared" si="0"/>
        <v>8.4148088041048013</v>
      </c>
      <c r="D49" s="17" t="str">
        <f t="shared" si="1"/>
        <v>&lt;14K</v>
      </c>
    </row>
    <row r="50" spans="1:4" x14ac:dyDescent="0.25">
      <c r="A50" s="14">
        <v>10.97</v>
      </c>
      <c r="B50" s="15">
        <f>((1/A50)-(1/Konstanta!$B$5))/((1/Konstanta!$B$4)-(1/Konstanta!$B$5))</f>
        <v>0.35198113653820384</v>
      </c>
      <c r="C50" s="16">
        <f t="shared" si="0"/>
        <v>8.4475472769168931</v>
      </c>
      <c r="D50" s="17" t="str">
        <f t="shared" si="1"/>
        <v>&lt;14K</v>
      </c>
    </row>
    <row r="51" spans="1:4" x14ac:dyDescent="0.25">
      <c r="A51" s="14">
        <v>10.98</v>
      </c>
      <c r="B51" s="15">
        <f>((1/A51)-(1/Konstanta!$B$5))/((1/Konstanta!$B$4)-(1/Konstanta!$B$5))</f>
        <v>0.35334275486706118</v>
      </c>
      <c r="C51" s="16">
        <f t="shared" si="0"/>
        <v>8.4802261168094688</v>
      </c>
      <c r="D51" s="17" t="str">
        <f t="shared" si="1"/>
        <v>&lt;14K</v>
      </c>
    </row>
    <row r="52" spans="1:4" x14ac:dyDescent="0.25">
      <c r="A52" s="14">
        <v>10.99</v>
      </c>
      <c r="B52" s="15">
        <f>((1/A52)-(1/Konstanta!$B$5))/((1/Konstanta!$B$4)-(1/Konstanta!$B$5))</f>
        <v>0.35470189527357304</v>
      </c>
      <c r="C52" s="16">
        <f t="shared" si="0"/>
        <v>8.5128454865657535</v>
      </c>
      <c r="D52" s="17" t="str">
        <f t="shared" si="1"/>
        <v>&lt;14K</v>
      </c>
    </row>
    <row r="53" spans="1:4" x14ac:dyDescent="0.25">
      <c r="A53" s="14">
        <v>11</v>
      </c>
      <c r="B53" s="15">
        <f>((1/A53)-(1/Konstanta!$B$5))/((1/Konstanta!$B$4)-(1/Konstanta!$B$5))</f>
        <v>0.35605856451570927</v>
      </c>
      <c r="C53" s="16">
        <f t="shared" si="0"/>
        <v>8.5454055483770226</v>
      </c>
      <c r="D53" s="17" t="str">
        <f t="shared" si="1"/>
        <v>&lt;14K</v>
      </c>
    </row>
    <row r="54" spans="1:4" x14ac:dyDescent="0.25">
      <c r="A54" s="14">
        <v>11.01</v>
      </c>
      <c r="B54" s="15">
        <f>((1/A54)-(1/Konstanta!$B$5))/((1/Konstanta!$B$4)-(1/Konstanta!$B$5))</f>
        <v>0.3574127693268882</v>
      </c>
      <c r="C54" s="16">
        <f t="shared" si="0"/>
        <v>8.5779064638453164</v>
      </c>
      <c r="D54" s="17" t="str">
        <f t="shared" si="1"/>
        <v>&lt;14K</v>
      </c>
    </row>
    <row r="55" spans="1:4" x14ac:dyDescent="0.25">
      <c r="A55" s="14">
        <v>11.02</v>
      </c>
      <c r="B55" s="15">
        <f>((1/A55)-(1/Konstanta!$B$5))/((1/Konstanta!$B$4)-(1/Konstanta!$B$5))</f>
        <v>0.35876451641608659</v>
      </c>
      <c r="C55" s="16">
        <f t="shared" si="0"/>
        <v>8.6103483939860777</v>
      </c>
      <c r="D55" s="17" t="str">
        <f t="shared" si="1"/>
        <v>&lt;14K</v>
      </c>
    </row>
    <row r="56" spans="1:4" x14ac:dyDescent="0.25">
      <c r="A56" s="14">
        <v>11.03</v>
      </c>
      <c r="B56" s="15">
        <f>((1/A56)-(1/Konstanta!$B$5))/((1/Konstanta!$B$4)-(1/Konstanta!$B$5))</f>
        <v>0.36011381246795199</v>
      </c>
      <c r="C56" s="16">
        <f t="shared" si="0"/>
        <v>8.6427314992308482</v>
      </c>
      <c r="D56" s="17" t="str">
        <f t="shared" si="1"/>
        <v>&lt;14K</v>
      </c>
    </row>
    <row r="57" spans="1:4" x14ac:dyDescent="0.25">
      <c r="A57" s="14">
        <v>11.04</v>
      </c>
      <c r="B57" s="15">
        <f>((1/A57)-(1/Konstanta!$B$5))/((1/Konstanta!$B$4)-(1/Konstanta!$B$5))</f>
        <v>0.36146066414291156</v>
      </c>
      <c r="C57" s="16">
        <f t="shared" si="0"/>
        <v>8.6750559394298783</v>
      </c>
      <c r="D57" s="17" t="str">
        <f t="shared" si="1"/>
        <v>&lt;14K</v>
      </c>
    </row>
    <row r="58" spans="1:4" x14ac:dyDescent="0.25">
      <c r="A58" s="14">
        <v>11.05</v>
      </c>
      <c r="B58" s="15">
        <f>((1/A58)-(1/Konstanta!$B$5))/((1/Konstanta!$B$4)-(1/Konstanta!$B$5))</f>
        <v>0.36280507807728346</v>
      </c>
      <c r="C58" s="16">
        <f t="shared" si="0"/>
        <v>8.7073218738548022</v>
      </c>
      <c r="D58" s="17" t="str">
        <f t="shared" si="1"/>
        <v>&lt;14K</v>
      </c>
    </row>
    <row r="59" spans="1:4" x14ac:dyDescent="0.25">
      <c r="A59" s="14">
        <v>11.06</v>
      </c>
      <c r="B59" s="15">
        <f>((1/A59)-(1/Konstanta!$B$5))/((1/Konstanta!$B$4)-(1/Konstanta!$B$5))</f>
        <v>0.36414706088338311</v>
      </c>
      <c r="C59" s="16">
        <f t="shared" si="0"/>
        <v>8.7395294612011938</v>
      </c>
      <c r="D59" s="17" t="str">
        <f t="shared" si="1"/>
        <v>&lt;14K</v>
      </c>
    </row>
    <row r="60" spans="1:4" x14ac:dyDescent="0.25">
      <c r="A60" s="14">
        <v>11.07</v>
      </c>
      <c r="B60" s="15">
        <f>((1/A60)-(1/Konstanta!$B$5))/((1/Konstanta!$B$4)-(1/Konstanta!$B$5))</f>
        <v>0.36548661914963443</v>
      </c>
      <c r="C60" s="16">
        <f t="shared" si="0"/>
        <v>8.7716788595912263</v>
      </c>
      <c r="D60" s="17" t="str">
        <f t="shared" si="1"/>
        <v>&lt;14K</v>
      </c>
    </row>
    <row r="61" spans="1:4" x14ac:dyDescent="0.25">
      <c r="A61" s="14">
        <v>11.08</v>
      </c>
      <c r="B61" s="15">
        <f>((1/A61)-(1/Konstanta!$B$5))/((1/Konstanta!$B$4)-(1/Konstanta!$B$5))</f>
        <v>0.3668237594406758</v>
      </c>
      <c r="C61" s="16">
        <f t="shared" si="0"/>
        <v>8.8037702265762192</v>
      </c>
      <c r="D61" s="17" t="str">
        <f t="shared" si="1"/>
        <v>&lt;14K</v>
      </c>
    </row>
    <row r="62" spans="1:4" x14ac:dyDescent="0.25">
      <c r="A62" s="14">
        <v>11.09</v>
      </c>
      <c r="B62" s="15">
        <f>((1/A62)-(1/Konstanta!$B$5))/((1/Konstanta!$B$4)-(1/Konstanta!$B$5))</f>
        <v>0.36815848829746833</v>
      </c>
      <c r="C62" s="16">
        <f t="shared" si="0"/>
        <v>8.8358037191392391</v>
      </c>
      <c r="D62" s="17" t="str">
        <f t="shared" si="1"/>
        <v>&lt;14K</v>
      </c>
    </row>
    <row r="63" spans="1:4" x14ac:dyDescent="0.25">
      <c r="A63" s="14">
        <v>11.1</v>
      </c>
      <c r="B63" s="15">
        <f>((1/A63)-(1/Konstanta!$B$5))/((1/Konstanta!$B$4)-(1/Konstanta!$B$5))</f>
        <v>0.36949081223740171</v>
      </c>
      <c r="C63" s="16">
        <f t="shared" si="0"/>
        <v>8.8677794936976415</v>
      </c>
      <c r="D63" s="17" t="str">
        <f t="shared" si="1"/>
        <v>&lt;14K</v>
      </c>
    </row>
    <row r="64" spans="1:4" x14ac:dyDescent="0.25">
      <c r="A64" s="14">
        <v>11.11</v>
      </c>
      <c r="B64" s="15">
        <f>((1/A64)-(1/Konstanta!$B$5))/((1/Konstanta!$B$4)-(1/Konstanta!$B$5))</f>
        <v>0.37082073775440116</v>
      </c>
      <c r="C64" s="16">
        <f t="shared" si="0"/>
        <v>8.899697706105627</v>
      </c>
      <c r="D64" s="17" t="str">
        <f t="shared" si="1"/>
        <v>&lt;14K</v>
      </c>
    </row>
    <row r="65" spans="1:4" x14ac:dyDescent="0.25">
      <c r="A65" s="14">
        <v>11.12</v>
      </c>
      <c r="B65" s="15">
        <f>((1/A65)-(1/Konstanta!$B$5))/((1/Konstanta!$B$4)-(1/Konstanta!$B$5))</f>
        <v>0.37214827131903155</v>
      </c>
      <c r="C65" s="16">
        <f t="shared" si="0"/>
        <v>8.9315585116567568</v>
      </c>
      <c r="D65" s="17" t="str">
        <f t="shared" si="1"/>
        <v>&lt;14K</v>
      </c>
    </row>
    <row r="66" spans="1:4" x14ac:dyDescent="0.25">
      <c r="A66" s="14">
        <v>11.13</v>
      </c>
      <c r="B66" s="15">
        <f>((1/A66)-(1/Konstanta!$B$5))/((1/Konstanta!$B$4)-(1/Konstanta!$B$5))</f>
        <v>0.37347341937860457</v>
      </c>
      <c r="C66" s="16">
        <f t="shared" si="0"/>
        <v>8.9633620650865105</v>
      </c>
      <c r="D66" s="17" t="str">
        <f t="shared" si="1"/>
        <v>&lt;14K</v>
      </c>
    </row>
    <row r="67" spans="1:4" x14ac:dyDescent="0.25">
      <c r="A67" s="14">
        <v>11.14</v>
      </c>
      <c r="B67" s="15">
        <f>((1/A67)-(1/Konstanta!$B$5))/((1/Konstanta!$B$4)-(1/Konstanta!$B$5))</f>
        <v>0.37479618835728046</v>
      </c>
      <c r="C67" s="16">
        <f t="shared" si="0"/>
        <v>8.9951085205747319</v>
      </c>
      <c r="D67" s="17" t="str">
        <f t="shared" si="1"/>
        <v>&lt;14K</v>
      </c>
    </row>
    <row r="68" spans="1:4" x14ac:dyDescent="0.25">
      <c r="A68" s="14">
        <v>11.15</v>
      </c>
      <c r="B68" s="15">
        <f>((1/A68)-(1/Konstanta!$B$5))/((1/Konstanta!$B$4)-(1/Konstanta!$B$5))</f>
        <v>0.37611658465617404</v>
      </c>
      <c r="C68" s="16">
        <f t="shared" ref="C68:C131" si="2">B68*24</f>
        <v>9.0267980317481769</v>
      </c>
      <c r="D68" s="17" t="str">
        <f t="shared" ref="D68:D131" si="3">IF(ROUND(C68,0)=24,"24K (murni)",IF(ROUND(C68,0)&gt;=22,"~22K",IF(ROUND(C68,0)&gt;=18,"~18K",IF(ROUND(C68,0)&gt;=14,"~14K","&lt;14K"))))</f>
        <v>&lt;14K</v>
      </c>
    </row>
    <row r="69" spans="1:4" x14ac:dyDescent="0.25">
      <c r="A69" s="14">
        <v>11.16</v>
      </c>
      <c r="B69" s="15">
        <f>((1/A69)-(1/Konstanta!$B$5))/((1/Konstanta!$B$4)-(1/Konstanta!$B$5))</f>
        <v>0.37743461465345662</v>
      </c>
      <c r="C69" s="16">
        <f t="shared" si="2"/>
        <v>9.058430751682959</v>
      </c>
      <c r="D69" s="17" t="str">
        <f t="shared" si="3"/>
        <v>&lt;14K</v>
      </c>
    </row>
    <row r="70" spans="1:4" x14ac:dyDescent="0.25">
      <c r="A70" s="14">
        <v>11.17</v>
      </c>
      <c r="B70" s="15">
        <f>((1/A70)-(1/Konstanta!$B$5))/((1/Konstanta!$B$4)-(1/Konstanta!$B$5))</f>
        <v>0.37875028470445948</v>
      </c>
      <c r="C70" s="16">
        <f t="shared" si="2"/>
        <v>9.0900068329070276</v>
      </c>
      <c r="D70" s="17" t="str">
        <f t="shared" si="3"/>
        <v>&lt;14K</v>
      </c>
    </row>
    <row r="71" spans="1:4" x14ac:dyDescent="0.25">
      <c r="A71" s="14">
        <v>11.18</v>
      </c>
      <c r="B71" s="15">
        <f>((1/A71)-(1/Konstanta!$B$5))/((1/Konstanta!$B$4)-(1/Konstanta!$B$5))</f>
        <v>0.38006360114177518</v>
      </c>
      <c r="C71" s="16">
        <f t="shared" si="2"/>
        <v>9.1215264274026033</v>
      </c>
      <c r="D71" s="17" t="str">
        <f t="shared" si="3"/>
        <v>&lt;14K</v>
      </c>
    </row>
    <row r="72" spans="1:4" x14ac:dyDescent="0.25">
      <c r="A72" s="14">
        <v>11.19</v>
      </c>
      <c r="B72" s="15">
        <f>((1/A72)-(1/Konstanta!$B$5))/((1/Konstanta!$B$4)-(1/Konstanta!$B$5))</f>
        <v>0.38137457027536042</v>
      </c>
      <c r="C72" s="16">
        <f t="shared" si="2"/>
        <v>9.1529896866086506</v>
      </c>
      <c r="D72" s="17" t="str">
        <f t="shared" si="3"/>
        <v>&lt;14K</v>
      </c>
    </row>
    <row r="73" spans="1:4" x14ac:dyDescent="0.25">
      <c r="A73" s="14">
        <v>11.2</v>
      </c>
      <c r="B73" s="15">
        <f>((1/A73)-(1/Konstanta!$B$5))/((1/Konstanta!$B$4)-(1/Konstanta!$B$5))</f>
        <v>0.38268319839263559</v>
      </c>
      <c r="C73" s="16">
        <f t="shared" si="2"/>
        <v>9.1843967614232547</v>
      </c>
      <c r="D73" s="17" t="str">
        <f t="shared" si="3"/>
        <v>&lt;14K</v>
      </c>
    </row>
    <row r="74" spans="1:4" x14ac:dyDescent="0.25">
      <c r="A74" s="14">
        <v>11.21</v>
      </c>
      <c r="B74" s="15">
        <f>((1/A74)-(1/Konstanta!$B$5))/((1/Konstanta!$B$4)-(1/Konstanta!$B$5))</f>
        <v>0.3839894917585866</v>
      </c>
      <c r="C74" s="16">
        <f t="shared" si="2"/>
        <v>9.2157478022060779</v>
      </c>
      <c r="D74" s="17" t="str">
        <f t="shared" si="3"/>
        <v>&lt;14K</v>
      </c>
    </row>
    <row r="75" spans="1:4" x14ac:dyDescent="0.25">
      <c r="A75" s="14">
        <v>11.22</v>
      </c>
      <c r="B75" s="15">
        <f>((1/A75)-(1/Konstanta!$B$5))/((1/Konstanta!$B$4)-(1/Konstanta!$B$5))</f>
        <v>0.38529345661586367</v>
      </c>
      <c r="C75" s="16">
        <f t="shared" si="2"/>
        <v>9.2470429587807281</v>
      </c>
      <c r="D75" s="17" t="str">
        <f t="shared" si="3"/>
        <v>&lt;14K</v>
      </c>
    </row>
    <row r="76" spans="1:4" x14ac:dyDescent="0.25">
      <c r="A76" s="14">
        <v>11.23</v>
      </c>
      <c r="B76" s="15">
        <f>((1/A76)-(1/Konstanta!$B$5))/((1/Konstanta!$B$4)-(1/Konstanta!$B$5))</f>
        <v>0.38659509918488222</v>
      </c>
      <c r="C76" s="16">
        <f t="shared" si="2"/>
        <v>9.2782823804371723</v>
      </c>
      <c r="D76" s="17" t="str">
        <f t="shared" si="3"/>
        <v>&lt;14K</v>
      </c>
    </row>
    <row r="77" spans="1:4" x14ac:dyDescent="0.25">
      <c r="A77" s="14">
        <v>11.24</v>
      </c>
      <c r="B77" s="15">
        <f>((1/A77)-(1/Konstanta!$B$5))/((1/Konstanta!$B$4)-(1/Konstanta!$B$5))</f>
        <v>0.38789442566392002</v>
      </c>
      <c r="C77" s="16">
        <f t="shared" si="2"/>
        <v>9.30946621593408</v>
      </c>
      <c r="D77" s="17" t="str">
        <f t="shared" si="3"/>
        <v>&lt;14K</v>
      </c>
    </row>
    <row r="78" spans="1:4" x14ac:dyDescent="0.25">
      <c r="A78" s="14">
        <v>11.25</v>
      </c>
      <c r="B78" s="15">
        <f>((1/A78)-(1/Konstanta!$B$5))/((1/Konstanta!$B$4)-(1/Konstanta!$B$5))</f>
        <v>0.38919144222921753</v>
      </c>
      <c r="C78" s="16">
        <f t="shared" si="2"/>
        <v>9.3405946135012208</v>
      </c>
      <c r="D78" s="17" t="str">
        <f t="shared" si="3"/>
        <v>&lt;14K</v>
      </c>
    </row>
    <row r="79" spans="1:4" x14ac:dyDescent="0.25">
      <c r="A79" s="14">
        <v>11.26</v>
      </c>
      <c r="B79" s="15">
        <f>((1/A79)-(1/Konstanta!$B$5))/((1/Konstanta!$B$4)-(1/Konstanta!$B$5))</f>
        <v>0.390486155035074</v>
      </c>
      <c r="C79" s="16">
        <f t="shared" si="2"/>
        <v>9.371667720841776</v>
      </c>
      <c r="D79" s="17" t="str">
        <f t="shared" si="3"/>
        <v>&lt;14K</v>
      </c>
    </row>
    <row r="80" spans="1:4" x14ac:dyDescent="0.25">
      <c r="A80" s="14">
        <v>11.27</v>
      </c>
      <c r="B80" s="15">
        <f>((1/A80)-(1/Konstanta!$B$5))/((1/Konstanta!$B$4)-(1/Konstanta!$B$5))</f>
        <v>0.39177857021394585</v>
      </c>
      <c r="C80" s="16">
        <f t="shared" si="2"/>
        <v>9.4026856851347009</v>
      </c>
      <c r="D80" s="17" t="str">
        <f t="shared" si="3"/>
        <v>&lt;14K</v>
      </c>
    </row>
    <row r="81" spans="1:4" x14ac:dyDescent="0.25">
      <c r="A81" s="14">
        <v>11.28</v>
      </c>
      <c r="B81" s="15">
        <f>((1/A81)-(1/Konstanta!$B$5))/((1/Konstanta!$B$4)-(1/Konstanta!$B$5))</f>
        <v>0.39306869387654297</v>
      </c>
      <c r="C81" s="16">
        <f t="shared" si="2"/>
        <v>9.4336486530370323</v>
      </c>
      <c r="D81" s="17" t="str">
        <f t="shared" si="3"/>
        <v>&lt;14K</v>
      </c>
    </row>
    <row r="82" spans="1:4" x14ac:dyDescent="0.25">
      <c r="A82" s="14">
        <v>11.29</v>
      </c>
      <c r="B82" s="15">
        <f>((1/A82)-(1/Konstanta!$B$5))/((1/Konstanta!$B$4)-(1/Konstanta!$B$5))</f>
        <v>0.39435653211192562</v>
      </c>
      <c r="C82" s="16">
        <f t="shared" si="2"/>
        <v>9.4645567706862153</v>
      </c>
      <c r="D82" s="17" t="str">
        <f t="shared" si="3"/>
        <v>&lt;14K</v>
      </c>
    </row>
    <row r="83" spans="1:4" x14ac:dyDescent="0.25">
      <c r="A83" s="14">
        <v>11.3</v>
      </c>
      <c r="B83" s="15">
        <f>((1/A83)-(1/Konstanta!$B$5))/((1/Konstanta!$B$4)-(1/Konstanta!$B$5))</f>
        <v>0.39564209098759973</v>
      </c>
      <c r="C83" s="16">
        <f t="shared" si="2"/>
        <v>9.4954101837023934</v>
      </c>
      <c r="D83" s="17" t="str">
        <f t="shared" si="3"/>
        <v>&lt;14K</v>
      </c>
    </row>
    <row r="84" spans="1:4" x14ac:dyDescent="0.25">
      <c r="A84" s="14">
        <v>11.31</v>
      </c>
      <c r="B84" s="15">
        <f>((1/A84)-(1/Konstanta!$B$5))/((1/Konstanta!$B$4)-(1/Konstanta!$B$5))</f>
        <v>0.39692537654961224</v>
      </c>
      <c r="C84" s="16">
        <f t="shared" si="2"/>
        <v>9.5262090371906929</v>
      </c>
      <c r="D84" s="17" t="str">
        <f t="shared" si="3"/>
        <v>&lt;14K</v>
      </c>
    </row>
    <row r="85" spans="1:4" x14ac:dyDescent="0.25">
      <c r="A85" s="14">
        <v>11.32</v>
      </c>
      <c r="B85" s="15">
        <f>((1/A85)-(1/Konstanta!$B$5))/((1/Konstanta!$B$4)-(1/Konstanta!$B$5))</f>
        <v>0.39820639482264558</v>
      </c>
      <c r="C85" s="16">
        <f t="shared" si="2"/>
        <v>9.5569534757434944</v>
      </c>
      <c r="D85" s="17" t="str">
        <f t="shared" si="3"/>
        <v>&lt;14K</v>
      </c>
    </row>
    <row r="86" spans="1:4" x14ac:dyDescent="0.25">
      <c r="A86" s="14">
        <v>11.33</v>
      </c>
      <c r="B86" s="15">
        <f>((1/A86)-(1/Konstanta!$B$5))/((1/Konstanta!$B$4)-(1/Konstanta!$B$5))</f>
        <v>0.39948515181011324</v>
      </c>
      <c r="C86" s="16">
        <f t="shared" si="2"/>
        <v>9.5876436434427177</v>
      </c>
      <c r="D86" s="17" t="str">
        <f t="shared" si="3"/>
        <v>&lt;14K</v>
      </c>
    </row>
    <row r="87" spans="1:4" x14ac:dyDescent="0.25">
      <c r="A87" s="14">
        <v>11.34</v>
      </c>
      <c r="B87" s="15">
        <f>((1/A87)-(1/Konstanta!$B$5))/((1/Konstanta!$B$4)-(1/Konstanta!$B$5))</f>
        <v>0.4007616534942523</v>
      </c>
      <c r="C87" s="16">
        <f t="shared" si="2"/>
        <v>9.6182796838620561</v>
      </c>
      <c r="D87" s="17" t="str">
        <f t="shared" si="3"/>
        <v>&lt;14K</v>
      </c>
    </row>
    <row r="88" spans="1:4" x14ac:dyDescent="0.25">
      <c r="A88" s="14">
        <v>11.35</v>
      </c>
      <c r="B88" s="15">
        <f>((1/A88)-(1/Konstanta!$B$5))/((1/Konstanta!$B$4)-(1/Konstanta!$B$5))</f>
        <v>0.40203590583621629</v>
      </c>
      <c r="C88" s="16">
        <f t="shared" si="2"/>
        <v>9.6488617400691901</v>
      </c>
      <c r="D88" s="17" t="str">
        <f t="shared" si="3"/>
        <v>&lt;14K</v>
      </c>
    </row>
    <row r="89" spans="1:4" x14ac:dyDescent="0.25">
      <c r="A89" s="14">
        <v>11.36</v>
      </c>
      <c r="B89" s="15">
        <f>((1/A89)-(1/Konstanta!$B$5))/((1/Konstanta!$B$4)-(1/Konstanta!$B$5))</f>
        <v>0.40330791477616995</v>
      </c>
      <c r="C89" s="16">
        <f t="shared" si="2"/>
        <v>9.6793899546280784</v>
      </c>
      <c r="D89" s="17" t="str">
        <f t="shared" si="3"/>
        <v>&lt;14K</v>
      </c>
    </row>
    <row r="90" spans="1:4" x14ac:dyDescent="0.25">
      <c r="A90" s="14">
        <v>11.37</v>
      </c>
      <c r="B90" s="15">
        <f>((1/A90)-(1/Konstanta!$B$5))/((1/Konstanta!$B$4)-(1/Konstanta!$B$5))</f>
        <v>0.40457768623337964</v>
      </c>
      <c r="C90" s="16">
        <f t="shared" si="2"/>
        <v>9.7098644696011114</v>
      </c>
      <c r="D90" s="17" t="str">
        <f t="shared" si="3"/>
        <v>&lt;14K</v>
      </c>
    </row>
    <row r="91" spans="1:4" x14ac:dyDescent="0.25">
      <c r="A91" s="14">
        <v>11.38</v>
      </c>
      <c r="B91" s="15">
        <f>((1/A91)-(1/Konstanta!$B$5))/((1/Konstanta!$B$4)-(1/Konstanta!$B$5))</f>
        <v>0.40584522610630624</v>
      </c>
      <c r="C91" s="16">
        <f t="shared" si="2"/>
        <v>9.740285426551349</v>
      </c>
      <c r="D91" s="17" t="str">
        <f t="shared" si="3"/>
        <v>&lt;14K</v>
      </c>
    </row>
    <row r="92" spans="1:4" x14ac:dyDescent="0.25">
      <c r="A92" s="14">
        <v>11.39</v>
      </c>
      <c r="B92" s="15">
        <f>((1/A92)-(1/Konstanta!$B$5))/((1/Konstanta!$B$4)-(1/Konstanta!$B$5))</f>
        <v>0.40711054027269533</v>
      </c>
      <c r="C92" s="16">
        <f t="shared" si="2"/>
        <v>9.770652966544688</v>
      </c>
      <c r="D92" s="17" t="str">
        <f t="shared" si="3"/>
        <v>&lt;14K</v>
      </c>
    </row>
    <row r="93" spans="1:4" x14ac:dyDescent="0.25">
      <c r="A93" s="14">
        <v>11.4</v>
      </c>
      <c r="B93" s="15">
        <f>((1/A93)-(1/Konstanta!$B$5))/((1/Konstanta!$B$4)-(1/Konstanta!$B$5))</f>
        <v>0.4083736345896698</v>
      </c>
      <c r="C93" s="16">
        <f t="shared" si="2"/>
        <v>9.8009672301520752</v>
      </c>
      <c r="D93" s="17" t="str">
        <f t="shared" si="3"/>
        <v>&lt;14K</v>
      </c>
    </row>
    <row r="94" spans="1:4" x14ac:dyDescent="0.25">
      <c r="A94" s="14">
        <v>11.41</v>
      </c>
      <c r="B94" s="15">
        <f>((1/A94)-(1/Konstanta!$B$5))/((1/Konstanta!$B$4)-(1/Konstanta!$B$5))</f>
        <v>0.40963451489381858</v>
      </c>
      <c r="C94" s="16">
        <f t="shared" si="2"/>
        <v>9.8312283574516464</v>
      </c>
      <c r="D94" s="17" t="str">
        <f t="shared" si="3"/>
        <v>&lt;14K</v>
      </c>
    </row>
    <row r="95" spans="1:4" x14ac:dyDescent="0.25">
      <c r="A95" s="14">
        <v>11.42</v>
      </c>
      <c r="B95" s="15">
        <f>((1/A95)-(1/Konstanta!$B$5))/((1/Konstanta!$B$4)-(1/Konstanta!$B$5))</f>
        <v>0.4108931870012878</v>
      </c>
      <c r="C95" s="16">
        <f t="shared" si="2"/>
        <v>9.8614364880309076</v>
      </c>
      <c r="D95" s="17" t="str">
        <f t="shared" si="3"/>
        <v>&lt;14K</v>
      </c>
    </row>
    <row r="96" spans="1:4" x14ac:dyDescent="0.25">
      <c r="A96" s="14">
        <v>11.43</v>
      </c>
      <c r="B96" s="15">
        <f>((1/A96)-(1/Konstanta!$B$5))/((1/Konstanta!$B$4)-(1/Konstanta!$B$5))</f>
        <v>0.41214965670786885</v>
      </c>
      <c r="C96" s="16">
        <f t="shared" si="2"/>
        <v>9.8915917609888524</v>
      </c>
      <c r="D96" s="17" t="str">
        <f t="shared" si="3"/>
        <v>&lt;14K</v>
      </c>
    </row>
    <row r="97" spans="1:4" x14ac:dyDescent="0.25">
      <c r="A97" s="14">
        <v>11.44</v>
      </c>
      <c r="B97" s="15">
        <f>((1/A97)-(1/Konstanta!$B$5))/((1/Konstanta!$B$4)-(1/Konstanta!$B$5))</f>
        <v>0.41340392978908885</v>
      </c>
      <c r="C97" s="16">
        <f t="shared" si="2"/>
        <v>9.9216943149381329</v>
      </c>
      <c r="D97" s="17" t="str">
        <f t="shared" si="3"/>
        <v>&lt;14K</v>
      </c>
    </row>
    <row r="98" spans="1:4" x14ac:dyDescent="0.25">
      <c r="A98" s="14">
        <v>11.45</v>
      </c>
      <c r="B98" s="15">
        <f>((1/A98)-(1/Konstanta!$B$5))/((1/Konstanta!$B$4)-(1/Konstanta!$B$5))</f>
        <v>0.414656012000298</v>
      </c>
      <c r="C98" s="16">
        <f t="shared" si="2"/>
        <v>9.9517442880071521</v>
      </c>
      <c r="D98" s="17" t="str">
        <f t="shared" si="3"/>
        <v>&lt;14K</v>
      </c>
    </row>
    <row r="99" spans="1:4" x14ac:dyDescent="0.25">
      <c r="A99" s="14">
        <v>11.46</v>
      </c>
      <c r="B99" s="15">
        <f>((1/A99)-(1/Konstanta!$B$5))/((1/Konstanta!$B$4)-(1/Konstanta!$B$5))</f>
        <v>0.41590590907675828</v>
      </c>
      <c r="C99" s="16">
        <f t="shared" si="2"/>
        <v>9.9817418178421988</v>
      </c>
      <c r="D99" s="17" t="str">
        <f t="shared" si="3"/>
        <v>&lt;14K</v>
      </c>
    </row>
    <row r="100" spans="1:4" x14ac:dyDescent="0.25">
      <c r="A100" s="14">
        <v>11.47</v>
      </c>
      <c r="B100" s="15">
        <f>((1/A100)-(1/Konstanta!$B$5))/((1/Konstanta!$B$4)-(1/Konstanta!$B$5))</f>
        <v>0.41715362673373019</v>
      </c>
      <c r="C100" s="16">
        <f t="shared" si="2"/>
        <v>10.011687041609525</v>
      </c>
      <c r="D100" s="17" t="str">
        <f t="shared" si="3"/>
        <v>&lt;14K</v>
      </c>
    </row>
    <row r="101" spans="1:4" x14ac:dyDescent="0.25">
      <c r="A101" s="14">
        <v>11.48</v>
      </c>
      <c r="B101" s="15">
        <f>((1/A101)-(1/Konstanta!$B$5))/((1/Konstanta!$B$4)-(1/Konstanta!$B$5))</f>
        <v>0.41839917066656124</v>
      </c>
      <c r="C101" s="16">
        <f t="shared" si="2"/>
        <v>10.041580095997469</v>
      </c>
      <c r="D101" s="17" t="str">
        <f t="shared" si="3"/>
        <v>&lt;14K</v>
      </c>
    </row>
    <row r="102" spans="1:4" x14ac:dyDescent="0.25">
      <c r="A102" s="14">
        <v>11.49</v>
      </c>
      <c r="B102" s="15">
        <f>((1/A102)-(1/Konstanta!$B$5))/((1/Konstanta!$B$4)-(1/Konstanta!$B$5))</f>
        <v>0.41964254655077093</v>
      </c>
      <c r="C102" s="16">
        <f t="shared" si="2"/>
        <v>10.071421117218502</v>
      </c>
      <c r="D102" s="17" t="str">
        <f t="shared" si="3"/>
        <v>&lt;14K</v>
      </c>
    </row>
    <row r="103" spans="1:4" x14ac:dyDescent="0.25">
      <c r="A103" s="14">
        <v>11.5</v>
      </c>
      <c r="B103" s="15">
        <f>((1/A103)-(1/Konstanta!$B$5))/((1/Konstanta!$B$4)-(1/Konstanta!$B$5))</f>
        <v>0.42088376004213857</v>
      </c>
      <c r="C103" s="16">
        <f t="shared" si="2"/>
        <v>10.101210241011326</v>
      </c>
      <c r="D103" s="17" t="str">
        <f t="shared" si="3"/>
        <v>&lt;14K</v>
      </c>
    </row>
    <row r="104" spans="1:4" x14ac:dyDescent="0.25">
      <c r="A104" s="14">
        <v>11.51</v>
      </c>
      <c r="B104" s="15">
        <f>((1/A104)-(1/Konstanta!$B$5))/((1/Konstanta!$B$4)-(1/Konstanta!$B$5))</f>
        <v>0.42212281677678792</v>
      </c>
      <c r="C104" s="16">
        <f t="shared" si="2"/>
        <v>10.130947602642911</v>
      </c>
      <c r="D104" s="17" t="str">
        <f t="shared" si="3"/>
        <v>&lt;14K</v>
      </c>
    </row>
    <row r="105" spans="1:4" x14ac:dyDescent="0.25">
      <c r="A105" s="14">
        <v>11.52</v>
      </c>
      <c r="B105" s="15">
        <f>((1/A105)-(1/Konstanta!$B$5))/((1/Konstanta!$B$4)-(1/Konstanta!$B$5))</f>
        <v>0.42335972237127306</v>
      </c>
      <c r="C105" s="16">
        <f t="shared" si="2"/>
        <v>10.160633336910553</v>
      </c>
      <c r="D105" s="17" t="str">
        <f t="shared" si="3"/>
        <v>&lt;14K</v>
      </c>
    </row>
    <row r="106" spans="1:4" x14ac:dyDescent="0.25">
      <c r="A106" s="14">
        <v>11.53</v>
      </c>
      <c r="B106" s="15">
        <f>((1/A106)-(1/Konstanta!$B$5))/((1/Konstanta!$B$4)-(1/Konstanta!$B$5))</f>
        <v>0.42459448242266268</v>
      </c>
      <c r="C106" s="16">
        <f t="shared" si="2"/>
        <v>10.190267578143905</v>
      </c>
      <c r="D106" s="17" t="str">
        <f t="shared" si="3"/>
        <v>&lt;14K</v>
      </c>
    </row>
    <row r="107" spans="1:4" x14ac:dyDescent="0.25">
      <c r="A107" s="14">
        <v>11.54</v>
      </c>
      <c r="B107" s="15">
        <f>((1/A107)-(1/Konstanta!$B$5))/((1/Konstanta!$B$4)-(1/Konstanta!$B$5))</f>
        <v>0.42582710250862527</v>
      </c>
      <c r="C107" s="16">
        <f t="shared" si="2"/>
        <v>10.219850460207006</v>
      </c>
      <c r="D107" s="17" t="str">
        <f t="shared" si="3"/>
        <v>&lt;14K</v>
      </c>
    </row>
    <row r="108" spans="1:4" x14ac:dyDescent="0.25">
      <c r="A108" s="14">
        <v>11.55</v>
      </c>
      <c r="B108" s="15">
        <f>((1/A108)-(1/Konstanta!$B$5))/((1/Konstanta!$B$4)-(1/Konstanta!$B$5))</f>
        <v>0.42705758818751283</v>
      </c>
      <c r="C108" s="16">
        <f t="shared" si="2"/>
        <v>10.249382116500307</v>
      </c>
      <c r="D108" s="17" t="str">
        <f t="shared" si="3"/>
        <v>&lt;14K</v>
      </c>
    </row>
    <row r="109" spans="1:4" x14ac:dyDescent="0.25">
      <c r="A109" s="14">
        <v>11.56</v>
      </c>
      <c r="B109" s="15">
        <f>((1/A109)-(1/Konstanta!$B$5))/((1/Konstanta!$B$4)-(1/Konstanta!$B$5))</f>
        <v>0.42828594499844375</v>
      </c>
      <c r="C109" s="16">
        <f t="shared" si="2"/>
        <v>10.27886267996265</v>
      </c>
      <c r="D109" s="17" t="str">
        <f t="shared" si="3"/>
        <v>&lt;14K</v>
      </c>
    </row>
    <row r="110" spans="1:4" x14ac:dyDescent="0.25">
      <c r="A110" s="14">
        <v>11.57</v>
      </c>
      <c r="B110" s="15">
        <f>((1/A110)-(1/Konstanta!$B$5))/((1/Konstanta!$B$4)-(1/Konstanta!$B$5))</f>
        <v>0.42951217846138673</v>
      </c>
      <c r="C110" s="16">
        <f t="shared" si="2"/>
        <v>10.308292283073282</v>
      </c>
      <c r="D110" s="17" t="str">
        <f t="shared" si="3"/>
        <v>&lt;14K</v>
      </c>
    </row>
    <row r="111" spans="1:4" x14ac:dyDescent="0.25">
      <c r="A111" s="14">
        <v>11.58</v>
      </c>
      <c r="B111" s="15">
        <f>((1/A111)-(1/Konstanta!$B$5))/((1/Konstanta!$B$4)-(1/Konstanta!$B$5))</f>
        <v>0.43073629407724356</v>
      </c>
      <c r="C111" s="16">
        <f t="shared" si="2"/>
        <v>10.337671057853846</v>
      </c>
      <c r="D111" s="17" t="str">
        <f t="shared" si="3"/>
        <v>&lt;14K</v>
      </c>
    </row>
    <row r="112" spans="1:4" x14ac:dyDescent="0.25">
      <c r="A112" s="14">
        <v>11.59</v>
      </c>
      <c r="B112" s="15">
        <f>((1/A112)-(1/Konstanta!$B$5))/((1/Konstanta!$B$4)-(1/Konstanta!$B$5))</f>
        <v>0.43195829732793051</v>
      </c>
      <c r="C112" s="16">
        <f t="shared" si="2"/>
        <v>10.366999135870332</v>
      </c>
      <c r="D112" s="17" t="str">
        <f t="shared" si="3"/>
        <v>&lt;14K</v>
      </c>
    </row>
    <row r="113" spans="1:4" x14ac:dyDescent="0.25">
      <c r="A113" s="14">
        <v>11.6</v>
      </c>
      <c r="B113" s="15">
        <f>((1/A113)-(1/Konstanta!$B$5))/((1/Konstanta!$B$4)-(1/Konstanta!$B$5))</f>
        <v>0.43317819367646121</v>
      </c>
      <c r="C113" s="16">
        <f t="shared" si="2"/>
        <v>10.396276648235069</v>
      </c>
      <c r="D113" s="17" t="str">
        <f t="shared" si="3"/>
        <v>&lt;14K</v>
      </c>
    </row>
    <row r="114" spans="1:4" x14ac:dyDescent="0.25">
      <c r="A114" s="14">
        <v>11.61</v>
      </c>
      <c r="B114" s="15">
        <f>((1/A114)-(1/Konstanta!$B$5))/((1/Konstanta!$B$4)-(1/Konstanta!$B$5))</f>
        <v>0.43439598856702721</v>
      </c>
      <c r="C114" s="16">
        <f t="shared" si="2"/>
        <v>10.425503725608653</v>
      </c>
      <c r="D114" s="17" t="str">
        <f t="shared" si="3"/>
        <v>&lt;14K</v>
      </c>
    </row>
    <row r="115" spans="1:4" x14ac:dyDescent="0.25">
      <c r="A115" s="14">
        <v>11.62</v>
      </c>
      <c r="B115" s="15">
        <f>((1/A115)-(1/Konstanta!$B$5))/((1/Konstanta!$B$4)-(1/Konstanta!$B$5))</f>
        <v>0.43561168742507927</v>
      </c>
      <c r="C115" s="16">
        <f t="shared" si="2"/>
        <v>10.454680498201903</v>
      </c>
      <c r="D115" s="17" t="str">
        <f t="shared" si="3"/>
        <v>&lt;14K</v>
      </c>
    </row>
    <row r="116" spans="1:4" x14ac:dyDescent="0.25">
      <c r="A116" s="14">
        <v>11.63</v>
      </c>
      <c r="B116" s="15">
        <f>((1/A116)-(1/Konstanta!$B$5))/((1/Konstanta!$B$4)-(1/Konstanta!$B$5))</f>
        <v>0.43682529565740841</v>
      </c>
      <c r="C116" s="16">
        <f t="shared" si="2"/>
        <v>10.483807095777802</v>
      </c>
      <c r="D116" s="17" t="str">
        <f t="shared" si="3"/>
        <v>&lt;14K</v>
      </c>
    </row>
    <row r="117" spans="1:4" x14ac:dyDescent="0.25">
      <c r="A117" s="14">
        <v>11.64</v>
      </c>
      <c r="B117" s="15">
        <f>((1/A117)-(1/Konstanta!$B$5))/((1/Konstanta!$B$4)-(1/Konstanta!$B$5))</f>
        <v>0.4380368186522246</v>
      </c>
      <c r="C117" s="16">
        <f t="shared" si="2"/>
        <v>10.512883647653391</v>
      </c>
      <c r="D117" s="17" t="str">
        <f t="shared" si="3"/>
        <v>&lt;14K</v>
      </c>
    </row>
    <row r="118" spans="1:4" x14ac:dyDescent="0.25">
      <c r="A118" s="14">
        <v>11.65</v>
      </c>
      <c r="B118" s="15">
        <f>((1/A118)-(1/Konstanta!$B$5))/((1/Konstanta!$B$4)-(1/Konstanta!$B$5))</f>
        <v>0.43924626177923864</v>
      </c>
      <c r="C118" s="16">
        <f t="shared" si="2"/>
        <v>10.541910282701728</v>
      </c>
      <c r="D118" s="17" t="str">
        <f t="shared" si="3"/>
        <v>&lt;14K</v>
      </c>
    </row>
    <row r="119" spans="1:4" x14ac:dyDescent="0.25">
      <c r="A119" s="14">
        <v>11.66</v>
      </c>
      <c r="B119" s="15">
        <f>((1/A119)-(1/Konstanta!$B$5))/((1/Konstanta!$B$4)-(1/Konstanta!$B$5))</f>
        <v>0.44045363038973989</v>
      </c>
      <c r="C119" s="16">
        <f t="shared" si="2"/>
        <v>10.570887129353757</v>
      </c>
      <c r="D119" s="17" t="str">
        <f t="shared" si="3"/>
        <v>&lt;14K</v>
      </c>
    </row>
    <row r="120" spans="1:4" x14ac:dyDescent="0.25">
      <c r="A120" s="14">
        <v>11.67</v>
      </c>
      <c r="B120" s="15">
        <f>((1/A120)-(1/Konstanta!$B$5))/((1/Konstanta!$B$4)-(1/Konstanta!$B$5))</f>
        <v>0.44165892981667548</v>
      </c>
      <c r="C120" s="16">
        <f t="shared" si="2"/>
        <v>10.599814315600211</v>
      </c>
      <c r="D120" s="17" t="str">
        <f t="shared" si="3"/>
        <v>&lt;14K</v>
      </c>
    </row>
    <row r="121" spans="1:4" x14ac:dyDescent="0.25">
      <c r="A121" s="14">
        <v>11.68</v>
      </c>
      <c r="B121" s="15">
        <f>((1/A121)-(1/Konstanta!$B$5))/((1/Konstanta!$B$4)-(1/Konstanta!$B$5))</f>
        <v>0.44286216537472933</v>
      </c>
      <c r="C121" s="16">
        <f t="shared" si="2"/>
        <v>10.628691968993504</v>
      </c>
      <c r="D121" s="17" t="str">
        <f t="shared" si="3"/>
        <v>&lt;14K</v>
      </c>
    </row>
    <row r="122" spans="1:4" x14ac:dyDescent="0.25">
      <c r="A122" s="14">
        <v>11.69</v>
      </c>
      <c r="B122" s="15">
        <f>((1/A122)-(1/Konstanta!$B$5))/((1/Konstanta!$B$4)-(1/Konstanta!$B$5))</f>
        <v>0.44406334236039979</v>
      </c>
      <c r="C122" s="16">
        <f t="shared" si="2"/>
        <v>10.657520216649594</v>
      </c>
      <c r="D122" s="17" t="str">
        <f t="shared" si="3"/>
        <v>&lt;14K</v>
      </c>
    </row>
    <row r="123" spans="1:4" x14ac:dyDescent="0.25">
      <c r="A123" s="14">
        <v>11.7</v>
      </c>
      <c r="B123" s="15">
        <f>((1/A123)-(1/Konstanta!$B$5))/((1/Konstanta!$B$4)-(1/Konstanta!$B$5))</f>
        <v>0.4452624660520777</v>
      </c>
      <c r="C123" s="16">
        <f t="shared" si="2"/>
        <v>10.686299185249865</v>
      </c>
      <c r="D123" s="17" t="str">
        <f t="shared" si="3"/>
        <v>&lt;14K</v>
      </c>
    </row>
    <row r="124" spans="1:4" x14ac:dyDescent="0.25">
      <c r="A124" s="14">
        <v>11.71</v>
      </c>
      <c r="B124" s="15">
        <f>((1/A124)-(1/Konstanta!$B$5))/((1/Konstanta!$B$4)-(1/Konstanta!$B$5))</f>
        <v>0.44645954171012342</v>
      </c>
      <c r="C124" s="16">
        <f t="shared" si="2"/>
        <v>10.715029001042963</v>
      </c>
      <c r="D124" s="17" t="str">
        <f t="shared" si="3"/>
        <v>&lt;14K</v>
      </c>
    </row>
    <row r="125" spans="1:4" x14ac:dyDescent="0.25">
      <c r="A125" s="14">
        <v>11.72</v>
      </c>
      <c r="B125" s="15">
        <f>((1/A125)-(1/Konstanta!$B$5))/((1/Konstanta!$B$4)-(1/Konstanta!$B$5))</f>
        <v>0.44765457457694391</v>
      </c>
      <c r="C125" s="16">
        <f t="shared" si="2"/>
        <v>10.743709789846655</v>
      </c>
      <c r="D125" s="17" t="str">
        <f t="shared" si="3"/>
        <v>&lt;14K</v>
      </c>
    </row>
    <row r="126" spans="1:4" x14ac:dyDescent="0.25">
      <c r="A126" s="14">
        <v>11.73</v>
      </c>
      <c r="B126" s="15">
        <f>((1/A126)-(1/Konstanta!$B$5))/((1/Konstanta!$B$4)-(1/Konstanta!$B$5))</f>
        <v>0.44884756987706875</v>
      </c>
      <c r="C126" s="16">
        <f t="shared" si="2"/>
        <v>10.772341677049649</v>
      </c>
      <c r="D126" s="17" t="str">
        <f t="shared" si="3"/>
        <v>&lt;14K</v>
      </c>
    </row>
    <row r="127" spans="1:4" x14ac:dyDescent="0.25">
      <c r="A127" s="14">
        <v>11.74</v>
      </c>
      <c r="B127" s="15">
        <f>((1/A127)-(1/Konstanta!$B$5))/((1/Konstanta!$B$4)-(1/Konstanta!$B$5))</f>
        <v>0.45003853281722772</v>
      </c>
      <c r="C127" s="16">
        <f t="shared" si="2"/>
        <v>10.800924787613464</v>
      </c>
      <c r="D127" s="17" t="str">
        <f t="shared" si="3"/>
        <v>&lt;14K</v>
      </c>
    </row>
    <row r="128" spans="1:4" x14ac:dyDescent="0.25">
      <c r="A128" s="14">
        <v>11.75</v>
      </c>
      <c r="B128" s="15">
        <f>((1/A128)-(1/Konstanta!$B$5))/((1/Konstanta!$B$4)-(1/Konstanta!$B$5))</f>
        <v>0.4512274685864246</v>
      </c>
      <c r="C128" s="16">
        <f t="shared" si="2"/>
        <v>10.82945924607419</v>
      </c>
      <c r="D128" s="17" t="str">
        <f t="shared" si="3"/>
        <v>&lt;14K</v>
      </c>
    </row>
    <row r="129" spans="1:4" x14ac:dyDescent="0.25">
      <c r="A129" s="14">
        <v>11.76</v>
      </c>
      <c r="B129" s="15">
        <f>((1/A129)-(1/Konstanta!$B$5))/((1/Konstanta!$B$4)-(1/Konstanta!$B$5))</f>
        <v>0.452414382356014</v>
      </c>
      <c r="C129" s="16">
        <f t="shared" si="2"/>
        <v>10.857945176544336</v>
      </c>
      <c r="D129" s="17" t="str">
        <f t="shared" si="3"/>
        <v>&lt;14K</v>
      </c>
    </row>
    <row r="130" spans="1:4" x14ac:dyDescent="0.25">
      <c r="A130" s="14">
        <v>11.77</v>
      </c>
      <c r="B130" s="15">
        <f>((1/A130)-(1/Konstanta!$B$5))/((1/Konstanta!$B$4)-(1/Konstanta!$B$5))</f>
        <v>0.45359927927977572</v>
      </c>
      <c r="C130" s="16">
        <f t="shared" si="2"/>
        <v>10.886382702714616</v>
      </c>
      <c r="D130" s="17" t="str">
        <f t="shared" si="3"/>
        <v>&lt;14K</v>
      </c>
    </row>
    <row r="131" spans="1:4" x14ac:dyDescent="0.25">
      <c r="A131" s="14">
        <v>11.78</v>
      </c>
      <c r="B131" s="15">
        <f>((1/A131)-(1/Konstanta!$B$5))/((1/Konstanta!$B$4)-(1/Konstanta!$B$5))</f>
        <v>0.45478216449398928</v>
      </c>
      <c r="C131" s="16">
        <f t="shared" si="2"/>
        <v>10.914771947855742</v>
      </c>
      <c r="D131" s="17" t="str">
        <f t="shared" si="3"/>
        <v>&lt;14K</v>
      </c>
    </row>
    <row r="132" spans="1:4" x14ac:dyDescent="0.25">
      <c r="A132" s="14">
        <v>11.79</v>
      </c>
      <c r="B132" s="15">
        <f>((1/A132)-(1/Konstanta!$B$5))/((1/Konstanta!$B$4)-(1/Konstanta!$B$5))</f>
        <v>0.4559630431175089</v>
      </c>
      <c r="C132" s="16">
        <f t="shared" ref="C132:C195" si="4">B132*24</f>
        <v>10.943113034820215</v>
      </c>
      <c r="D132" s="17" t="str">
        <f t="shared" ref="D132:D195" si="5">IF(ROUND(C132,0)=24,"24K (murni)",IF(ROUND(C132,0)&gt;=22,"~22K",IF(ROUND(C132,0)&gt;=18,"~18K",IF(ROUND(C132,0)&gt;=14,"~14K","&lt;14K"))))</f>
        <v>&lt;14K</v>
      </c>
    </row>
    <row r="133" spans="1:4" x14ac:dyDescent="0.25">
      <c r="A133" s="14">
        <v>11.8</v>
      </c>
      <c r="B133" s="15">
        <f>((1/A133)-(1/Konstanta!$B$5))/((1/Konstanta!$B$4)-(1/Konstanta!$B$5))</f>
        <v>0.45714192025183631</v>
      </c>
      <c r="C133" s="16">
        <f t="shared" si="4"/>
        <v>10.971406086044071</v>
      </c>
      <c r="D133" s="17" t="str">
        <f t="shared" si="5"/>
        <v>&lt;14K</v>
      </c>
    </row>
    <row r="134" spans="1:4" x14ac:dyDescent="0.25">
      <c r="A134" s="14">
        <v>11.81</v>
      </c>
      <c r="B134" s="15">
        <f>((1/A134)-(1/Konstanta!$B$5))/((1/Konstanta!$B$4)-(1/Konstanta!$B$5))</f>
        <v>0.45831880098119421</v>
      </c>
      <c r="C134" s="16">
        <f t="shared" si="4"/>
        <v>10.999651223548661</v>
      </c>
      <c r="D134" s="17" t="str">
        <f t="shared" si="5"/>
        <v>&lt;14K</v>
      </c>
    </row>
    <row r="135" spans="1:4" x14ac:dyDescent="0.25">
      <c r="A135" s="14">
        <v>11.82</v>
      </c>
      <c r="B135" s="15">
        <f>((1/A135)-(1/Konstanta!$B$5))/((1/Konstanta!$B$4)-(1/Konstanta!$B$5))</f>
        <v>0.45949369037260063</v>
      </c>
      <c r="C135" s="16">
        <f t="shared" si="4"/>
        <v>11.027848568942415</v>
      </c>
      <c r="D135" s="17" t="str">
        <f t="shared" si="5"/>
        <v>&lt;14K</v>
      </c>
    </row>
    <row r="136" spans="1:4" x14ac:dyDescent="0.25">
      <c r="A136" s="14">
        <v>11.83</v>
      </c>
      <c r="B136" s="15">
        <f>((1/A136)-(1/Konstanta!$B$5))/((1/Konstanta!$B$4)-(1/Konstanta!$B$5))</f>
        <v>0.46066659347594047</v>
      </c>
      <c r="C136" s="16">
        <f t="shared" si="4"/>
        <v>11.055998243422572</v>
      </c>
      <c r="D136" s="17" t="str">
        <f t="shared" si="5"/>
        <v>&lt;14K</v>
      </c>
    </row>
    <row r="137" spans="1:4" x14ac:dyDescent="0.25">
      <c r="A137" s="14">
        <v>11.84</v>
      </c>
      <c r="B137" s="15">
        <f>((1/A137)-(1/Konstanta!$B$5))/((1/Konstanta!$B$4)-(1/Konstanta!$B$5))</f>
        <v>0.46183751532403811</v>
      </c>
      <c r="C137" s="16">
        <f t="shared" si="4"/>
        <v>11.084100367776914</v>
      </c>
      <c r="D137" s="17" t="str">
        <f t="shared" si="5"/>
        <v>&lt;14K</v>
      </c>
    </row>
    <row r="138" spans="1:4" x14ac:dyDescent="0.25">
      <c r="A138" s="14">
        <v>11.85</v>
      </c>
      <c r="B138" s="15">
        <f>((1/A138)-(1/Konstanta!$B$5))/((1/Konstanta!$B$4)-(1/Konstanta!$B$5))</f>
        <v>0.46300646093272974</v>
      </c>
      <c r="C138" s="16">
        <f t="shared" si="4"/>
        <v>11.112155062385513</v>
      </c>
      <c r="D138" s="17" t="str">
        <f t="shared" si="5"/>
        <v>&lt;14K</v>
      </c>
    </row>
    <row r="139" spans="1:4" x14ac:dyDescent="0.25">
      <c r="A139" s="14">
        <v>11.86</v>
      </c>
      <c r="B139" s="15">
        <f>((1/A139)-(1/Konstanta!$B$5))/((1/Konstanta!$B$4)-(1/Konstanta!$B$5))</f>
        <v>0.46417343530093436</v>
      </c>
      <c r="C139" s="16">
        <f t="shared" si="4"/>
        <v>11.140162447222425</v>
      </c>
      <c r="D139" s="17" t="str">
        <f t="shared" si="5"/>
        <v>&lt;14K</v>
      </c>
    </row>
    <row r="140" spans="1:4" x14ac:dyDescent="0.25">
      <c r="A140" s="14">
        <v>11.87</v>
      </c>
      <c r="B140" s="15">
        <f>((1/A140)-(1/Konstanta!$B$5))/((1/Konstanta!$B$4)-(1/Konstanta!$B$5))</f>
        <v>0.46533844341072605</v>
      </c>
      <c r="C140" s="16">
        <f t="shared" si="4"/>
        <v>11.168122641857426</v>
      </c>
      <c r="D140" s="17" t="str">
        <f t="shared" si="5"/>
        <v>&lt;14K</v>
      </c>
    </row>
    <row r="141" spans="1:4" x14ac:dyDescent="0.25">
      <c r="A141" s="14">
        <v>11.88</v>
      </c>
      <c r="B141" s="15">
        <f>((1/A141)-(1/Konstanta!$B$5))/((1/Konstanta!$B$4)-(1/Konstanta!$B$5))</f>
        <v>0.46650149022740367</v>
      </c>
      <c r="C141" s="16">
        <f t="shared" si="4"/>
        <v>11.196035765457689</v>
      </c>
      <c r="D141" s="17" t="str">
        <f t="shared" si="5"/>
        <v>&lt;14K</v>
      </c>
    </row>
    <row r="142" spans="1:4" x14ac:dyDescent="0.25">
      <c r="A142" s="14">
        <v>11.89</v>
      </c>
      <c r="B142" s="15">
        <f>((1/A142)-(1/Konstanta!$B$5))/((1/Konstanta!$B$4)-(1/Konstanta!$B$5))</f>
        <v>0.46766258069956179</v>
      </c>
      <c r="C142" s="16">
        <f t="shared" si="4"/>
        <v>11.223901936789483</v>
      </c>
      <c r="D142" s="17" t="str">
        <f t="shared" si="5"/>
        <v>&lt;14K</v>
      </c>
    </row>
    <row r="143" spans="1:4" x14ac:dyDescent="0.25">
      <c r="A143" s="14">
        <v>11.9</v>
      </c>
      <c r="B143" s="15">
        <f>((1/A143)-(1/Konstanta!$B$5))/((1/Konstanta!$B$4)-(1/Konstanta!$B$5))</f>
        <v>0.46882171975916193</v>
      </c>
      <c r="C143" s="16">
        <f t="shared" si="4"/>
        <v>11.251721274219886</v>
      </c>
      <c r="D143" s="17" t="str">
        <f t="shared" si="5"/>
        <v>&lt;14K</v>
      </c>
    </row>
    <row r="144" spans="1:4" x14ac:dyDescent="0.25">
      <c r="A144" s="14">
        <v>11.91</v>
      </c>
      <c r="B144" s="15">
        <f>((1/A144)-(1/Konstanta!$B$5))/((1/Konstanta!$B$4)-(1/Konstanta!$B$5))</f>
        <v>0.46997891232160044</v>
      </c>
      <c r="C144" s="16">
        <f t="shared" si="4"/>
        <v>11.27949389571841</v>
      </c>
      <c r="D144" s="17" t="str">
        <f t="shared" si="5"/>
        <v>&lt;14K</v>
      </c>
    </row>
    <row r="145" spans="1:4" x14ac:dyDescent="0.25">
      <c r="A145" s="14">
        <v>11.92</v>
      </c>
      <c r="B145" s="15">
        <f>((1/A145)-(1/Konstanta!$B$5))/((1/Konstanta!$B$4)-(1/Konstanta!$B$5))</f>
        <v>0.47113416328577989</v>
      </c>
      <c r="C145" s="16">
        <f t="shared" si="4"/>
        <v>11.307219918858717</v>
      </c>
      <c r="D145" s="17" t="str">
        <f t="shared" si="5"/>
        <v>&lt;14K</v>
      </c>
    </row>
    <row r="146" spans="1:4" x14ac:dyDescent="0.25">
      <c r="A146" s="14">
        <v>11.93</v>
      </c>
      <c r="B146" s="15">
        <f>((1/A146)-(1/Konstanta!$B$5))/((1/Konstanta!$B$4)-(1/Konstanta!$B$5))</f>
        <v>0.47228747753417705</v>
      </c>
      <c r="C146" s="16">
        <f t="shared" si="4"/>
        <v>11.33489946082025</v>
      </c>
      <c r="D146" s="17" t="str">
        <f t="shared" si="5"/>
        <v>&lt;14K</v>
      </c>
    </row>
    <row r="147" spans="1:4" x14ac:dyDescent="0.25">
      <c r="A147" s="14">
        <v>11.94</v>
      </c>
      <c r="B147" s="15">
        <f>((1/A147)-(1/Konstanta!$B$5))/((1/Konstanta!$B$4)-(1/Konstanta!$B$5))</f>
        <v>0.47343885993291185</v>
      </c>
      <c r="C147" s="16">
        <f t="shared" si="4"/>
        <v>11.362532638389885</v>
      </c>
      <c r="D147" s="17" t="str">
        <f t="shared" si="5"/>
        <v>&lt;14K</v>
      </c>
    </row>
    <row r="148" spans="1:4" x14ac:dyDescent="0.25">
      <c r="A148" s="14">
        <v>11.95</v>
      </c>
      <c r="B148" s="15">
        <f>((1/A148)-(1/Konstanta!$B$5))/((1/Konstanta!$B$4)-(1/Konstanta!$B$5))</f>
        <v>0.47458831533181611</v>
      </c>
      <c r="C148" s="16">
        <f t="shared" si="4"/>
        <v>11.390119567963588</v>
      </c>
      <c r="D148" s="17" t="str">
        <f t="shared" si="5"/>
        <v>&lt;14K</v>
      </c>
    </row>
    <row r="149" spans="1:4" x14ac:dyDescent="0.25">
      <c r="A149" s="14">
        <v>11.96</v>
      </c>
      <c r="B149" s="15">
        <f>((1/A149)-(1/Konstanta!$B$5))/((1/Konstanta!$B$4)-(1/Konstanta!$B$5))</f>
        <v>0.47573584856450174</v>
      </c>
      <c r="C149" s="16">
        <f t="shared" si="4"/>
        <v>11.417660365548041</v>
      </c>
      <c r="D149" s="17" t="str">
        <f t="shared" si="5"/>
        <v>&lt;14K</v>
      </c>
    </row>
    <row r="150" spans="1:4" x14ac:dyDescent="0.25">
      <c r="A150" s="14">
        <v>11.97</v>
      </c>
      <c r="B150" s="15">
        <f>((1/A150)-(1/Konstanta!$B$5))/((1/Konstanta!$B$4)-(1/Konstanta!$B$5))</f>
        <v>0.47688146444842749</v>
      </c>
      <c r="C150" s="16">
        <f t="shared" si="4"/>
        <v>11.445155146762261</v>
      </c>
      <c r="D150" s="17" t="str">
        <f t="shared" si="5"/>
        <v>&lt;14K</v>
      </c>
    </row>
    <row r="151" spans="1:4" x14ac:dyDescent="0.25">
      <c r="A151" s="14">
        <v>11.98</v>
      </c>
      <c r="B151" s="15">
        <f>((1/A151)-(1/Konstanta!$B$5))/((1/Konstanta!$B$4)-(1/Konstanta!$B$5))</f>
        <v>0.47802516778496762</v>
      </c>
      <c r="C151" s="16">
        <f t="shared" si="4"/>
        <v>11.472604026839223</v>
      </c>
      <c r="D151" s="17" t="str">
        <f t="shared" si="5"/>
        <v>&lt;14K</v>
      </c>
    </row>
    <row r="152" spans="1:4" x14ac:dyDescent="0.25">
      <c r="A152" s="14">
        <v>11.99</v>
      </c>
      <c r="B152" s="15">
        <f>((1/A152)-(1/Konstanta!$B$5))/((1/Konstanta!$B$4)-(1/Konstanta!$B$5))</f>
        <v>0.47916696335947867</v>
      </c>
      <c r="C152" s="16">
        <f t="shared" si="4"/>
        <v>11.500007120627489</v>
      </c>
      <c r="D152" s="17" t="str">
        <f t="shared" si="5"/>
        <v>&lt;14K</v>
      </c>
    </row>
    <row r="153" spans="1:4" x14ac:dyDescent="0.25">
      <c r="A153" s="14">
        <v>12</v>
      </c>
      <c r="B153" s="15">
        <f>((1/A153)-(1/Konstanta!$B$5))/((1/Konstanta!$B$4)-(1/Konstanta!$B$5))</f>
        <v>0.48030685594136541</v>
      </c>
      <c r="C153" s="16">
        <f t="shared" si="4"/>
        <v>11.527364542592769</v>
      </c>
      <c r="D153" s="17" t="str">
        <f t="shared" si="5"/>
        <v>&lt;14K</v>
      </c>
    </row>
    <row r="154" spans="1:4" x14ac:dyDescent="0.25">
      <c r="A154" s="14">
        <v>12.01</v>
      </c>
      <c r="B154" s="15">
        <f>((1/A154)-(1/Konstanta!$B$5))/((1/Konstanta!$B$4)-(1/Konstanta!$B$5))</f>
        <v>0.48144485028414813</v>
      </c>
      <c r="C154" s="16">
        <f t="shared" si="4"/>
        <v>11.554676406819555</v>
      </c>
      <c r="D154" s="17" t="str">
        <f t="shared" si="5"/>
        <v>&lt;14K</v>
      </c>
    </row>
    <row r="155" spans="1:4" x14ac:dyDescent="0.25">
      <c r="A155" s="14">
        <v>12.02</v>
      </c>
      <c r="B155" s="15">
        <f>((1/A155)-(1/Konstanta!$B$5))/((1/Konstanta!$B$4)-(1/Konstanta!$B$5))</f>
        <v>0.48258095112552857</v>
      </c>
      <c r="C155" s="16">
        <f t="shared" si="4"/>
        <v>11.581942827012686</v>
      </c>
      <c r="D155" s="17" t="str">
        <f t="shared" si="5"/>
        <v>&lt;14K</v>
      </c>
    </row>
    <row r="156" spans="1:4" x14ac:dyDescent="0.25">
      <c r="A156" s="14">
        <v>12.03</v>
      </c>
      <c r="B156" s="15">
        <f>((1/A156)-(1/Konstanta!$B$5))/((1/Konstanta!$B$4)-(1/Konstanta!$B$5))</f>
        <v>0.48371516318745555</v>
      </c>
      <c r="C156" s="16">
        <f t="shared" si="4"/>
        <v>11.609163916498932</v>
      </c>
      <c r="D156" s="17" t="str">
        <f t="shared" si="5"/>
        <v>&lt;14K</v>
      </c>
    </row>
    <row r="157" spans="1:4" x14ac:dyDescent="0.25">
      <c r="A157" s="14">
        <v>12.04</v>
      </c>
      <c r="B157" s="15">
        <f>((1/A157)-(1/Konstanta!$B$5))/((1/Konstanta!$B$4)-(1/Konstanta!$B$5))</f>
        <v>0.48484749117618992</v>
      </c>
      <c r="C157" s="16">
        <f t="shared" si="4"/>
        <v>11.636339788228558</v>
      </c>
      <c r="D157" s="17" t="str">
        <f t="shared" si="5"/>
        <v>&lt;14K</v>
      </c>
    </row>
    <row r="158" spans="1:4" x14ac:dyDescent="0.25">
      <c r="A158" s="14">
        <v>12.05</v>
      </c>
      <c r="B158" s="15">
        <f>((1/A158)-(1/Konstanta!$B$5))/((1/Konstanta!$B$4)-(1/Konstanta!$B$5))</f>
        <v>0.48597793978237042</v>
      </c>
      <c r="C158" s="16">
        <f t="shared" si="4"/>
        <v>11.66347055477689</v>
      </c>
      <c r="D158" s="17" t="str">
        <f t="shared" si="5"/>
        <v>&lt;14K</v>
      </c>
    </row>
    <row r="159" spans="1:4" x14ac:dyDescent="0.25">
      <c r="A159" s="14">
        <v>12.06</v>
      </c>
      <c r="B159" s="15">
        <f>((1/A159)-(1/Konstanta!$B$5))/((1/Konstanta!$B$4)-(1/Konstanta!$B$5))</f>
        <v>0.48710651368107788</v>
      </c>
      <c r="C159" s="16">
        <f t="shared" si="4"/>
        <v>11.690556328345869</v>
      </c>
      <c r="D159" s="17" t="str">
        <f t="shared" si="5"/>
        <v>&lt;14K</v>
      </c>
    </row>
    <row r="160" spans="1:4" x14ac:dyDescent="0.25">
      <c r="A160" s="14">
        <v>12.07</v>
      </c>
      <c r="B160" s="15">
        <f>((1/A160)-(1/Konstanta!$B$5))/((1/Konstanta!$B$4)-(1/Konstanta!$B$5))</f>
        <v>0.48823321753190013</v>
      </c>
      <c r="C160" s="16">
        <f t="shared" si="4"/>
        <v>11.717597220765603</v>
      </c>
      <c r="D160" s="17" t="str">
        <f t="shared" si="5"/>
        <v>&lt;14K</v>
      </c>
    </row>
    <row r="161" spans="1:4" x14ac:dyDescent="0.25">
      <c r="A161" s="14">
        <v>12.08</v>
      </c>
      <c r="B161" s="15">
        <f>((1/A161)-(1/Konstanta!$B$5))/((1/Konstanta!$B$4)-(1/Konstanta!$B$5))</f>
        <v>0.48935805597899579</v>
      </c>
      <c r="C161" s="16">
        <f t="shared" si="4"/>
        <v>11.744593343495898</v>
      </c>
      <c r="D161" s="17" t="str">
        <f t="shared" si="5"/>
        <v>&lt;14K</v>
      </c>
    </row>
    <row r="162" spans="1:4" x14ac:dyDescent="0.25">
      <c r="A162" s="14">
        <v>12.09</v>
      </c>
      <c r="B162" s="15">
        <f>((1/A162)-(1/Konstanta!$B$5))/((1/Konstanta!$B$4)-(1/Konstanta!$B$5))</f>
        <v>0.49048103365115842</v>
      </c>
      <c r="C162" s="16">
        <f t="shared" si="4"/>
        <v>11.771544807627802</v>
      </c>
      <c r="D162" s="17" t="str">
        <f t="shared" si="5"/>
        <v>&lt;14K</v>
      </c>
    </row>
    <row r="163" spans="1:4" x14ac:dyDescent="0.25">
      <c r="A163" s="14">
        <v>12.1</v>
      </c>
      <c r="B163" s="15">
        <f>((1/A163)-(1/Konstanta!$B$5))/((1/Konstanta!$B$4)-(1/Konstanta!$B$5))</f>
        <v>0.49160215516187944</v>
      </c>
      <c r="C163" s="16">
        <f t="shared" si="4"/>
        <v>11.798451723885107</v>
      </c>
      <c r="D163" s="17" t="str">
        <f t="shared" si="5"/>
        <v>&lt;14K</v>
      </c>
    </row>
    <row r="164" spans="1:4" x14ac:dyDescent="0.25">
      <c r="A164" s="14">
        <v>12.11</v>
      </c>
      <c r="B164" s="15">
        <f>((1/A164)-(1/Konstanta!$B$5))/((1/Konstanta!$B$4)-(1/Konstanta!$B$5))</f>
        <v>0.49272142510941175</v>
      </c>
      <c r="C164" s="16">
        <f t="shared" si="4"/>
        <v>11.825314202625883</v>
      </c>
      <c r="D164" s="17" t="str">
        <f t="shared" si="5"/>
        <v>&lt;14K</v>
      </c>
    </row>
    <row r="165" spans="1:4" x14ac:dyDescent="0.25">
      <c r="A165" s="14">
        <v>12.12</v>
      </c>
      <c r="B165" s="15">
        <f>((1/A165)-(1/Konstanta!$B$5))/((1/Konstanta!$B$4)-(1/Konstanta!$B$5))</f>
        <v>0.49383884807683281</v>
      </c>
      <c r="C165" s="16">
        <f t="shared" si="4"/>
        <v>11.852132353843988</v>
      </c>
      <c r="D165" s="17" t="str">
        <f t="shared" si="5"/>
        <v>&lt;14K</v>
      </c>
    </row>
    <row r="166" spans="1:4" x14ac:dyDescent="0.25">
      <c r="A166" s="14">
        <v>12.13</v>
      </c>
      <c r="B166" s="15">
        <f>((1/A166)-(1/Konstanta!$B$5))/((1/Konstanta!$B$4)-(1/Konstanta!$B$5))</f>
        <v>0.49495442863210631</v>
      </c>
      <c r="C166" s="16">
        <f t="shared" si="4"/>
        <v>11.878906287170551</v>
      </c>
      <c r="D166" s="17" t="str">
        <f t="shared" si="5"/>
        <v>&lt;14K</v>
      </c>
    </row>
    <row r="167" spans="1:4" x14ac:dyDescent="0.25">
      <c r="A167" s="14">
        <v>12.14</v>
      </c>
      <c r="B167" s="15">
        <f>((1/A167)-(1/Konstanta!$B$5))/((1/Konstanta!$B$4)-(1/Konstanta!$B$5))</f>
        <v>0.49606817132814551</v>
      </c>
      <c r="C167" s="16">
        <f t="shared" si="4"/>
        <v>11.905636111875491</v>
      </c>
      <c r="D167" s="17" t="str">
        <f t="shared" si="5"/>
        <v>&lt;14K</v>
      </c>
    </row>
    <row r="168" spans="1:4" x14ac:dyDescent="0.25">
      <c r="A168" s="14">
        <v>12.15</v>
      </c>
      <c r="B168" s="15">
        <f>((1/A168)-(1/Konstanta!$B$5))/((1/Konstanta!$B$4)-(1/Konstanta!$B$5))</f>
        <v>0.49718008070287417</v>
      </c>
      <c r="C168" s="16">
        <f t="shared" si="4"/>
        <v>11.932321936868981</v>
      </c>
      <c r="D168" s="17" t="str">
        <f t="shared" si="5"/>
        <v>&lt;14K</v>
      </c>
    </row>
    <row r="169" spans="1:4" x14ac:dyDescent="0.25">
      <c r="A169" s="14">
        <v>12.16</v>
      </c>
      <c r="B169" s="15">
        <f>((1/A169)-(1/Konstanta!$B$5))/((1/Konstanta!$B$4)-(1/Konstanta!$B$5))</f>
        <v>0.4982901612792891</v>
      </c>
      <c r="C169" s="16">
        <f t="shared" si="4"/>
        <v>11.958963870702938</v>
      </c>
      <c r="D169" s="17" t="str">
        <f t="shared" si="5"/>
        <v>&lt;14K</v>
      </c>
    </row>
    <row r="170" spans="1:4" x14ac:dyDescent="0.25">
      <c r="A170" s="14">
        <v>12.17</v>
      </c>
      <c r="B170" s="15">
        <f>((1/A170)-(1/Konstanta!$B$5))/((1/Konstanta!$B$4)-(1/Konstanta!$B$5))</f>
        <v>0.49939841756552117</v>
      </c>
      <c r="C170" s="16">
        <f t="shared" si="4"/>
        <v>11.985562021572509</v>
      </c>
      <c r="D170" s="17" t="str">
        <f t="shared" si="5"/>
        <v>&lt;14K</v>
      </c>
    </row>
    <row r="171" spans="1:4" x14ac:dyDescent="0.25">
      <c r="A171" s="14">
        <v>12.18</v>
      </c>
      <c r="B171" s="15">
        <f>((1/A171)-(1/Konstanta!$B$5))/((1/Konstanta!$B$4)-(1/Konstanta!$B$5))</f>
        <v>0.50050485405489564</v>
      </c>
      <c r="C171" s="16">
        <f t="shared" si="4"/>
        <v>12.012116497317496</v>
      </c>
      <c r="D171" s="17" t="str">
        <f t="shared" si="5"/>
        <v>&lt;14K</v>
      </c>
    </row>
    <row r="172" spans="1:4" x14ac:dyDescent="0.25">
      <c r="A172" s="14">
        <v>12.19</v>
      </c>
      <c r="B172" s="15">
        <f>((1/A172)-(1/Konstanta!$B$5))/((1/Konstanta!$B$4)-(1/Konstanta!$B$5))</f>
        <v>0.50160947522599375</v>
      </c>
      <c r="C172" s="16">
        <f t="shared" si="4"/>
        <v>12.038627405423849</v>
      </c>
      <c r="D172" s="17" t="str">
        <f t="shared" si="5"/>
        <v>&lt;14K</v>
      </c>
    </row>
    <row r="173" spans="1:4" x14ac:dyDescent="0.25">
      <c r="A173" s="14">
        <v>12.2</v>
      </c>
      <c r="B173" s="15">
        <f>((1/A173)-(1/Konstanta!$B$5))/((1/Konstanta!$B$4)-(1/Konstanta!$B$5))</f>
        <v>0.50271228554271297</v>
      </c>
      <c r="C173" s="16">
        <f t="shared" si="4"/>
        <v>12.065094853025112</v>
      </c>
      <c r="D173" s="17" t="str">
        <f t="shared" si="5"/>
        <v>&lt;14K</v>
      </c>
    </row>
    <row r="174" spans="1:4" x14ac:dyDescent="0.25">
      <c r="A174" s="14">
        <v>12.21</v>
      </c>
      <c r="B174" s="15">
        <f>((1/A174)-(1/Konstanta!$B$5))/((1/Konstanta!$B$4)-(1/Konstanta!$B$5))</f>
        <v>0.50381328945432735</v>
      </c>
      <c r="C174" s="16">
        <f t="shared" si="4"/>
        <v>12.091518946903857</v>
      </c>
      <c r="D174" s="17" t="str">
        <f t="shared" si="5"/>
        <v>&lt;14K</v>
      </c>
    </row>
    <row r="175" spans="1:4" x14ac:dyDescent="0.25">
      <c r="A175" s="14">
        <v>12.22</v>
      </c>
      <c r="B175" s="15">
        <f>((1/A175)-(1/Konstanta!$B$5))/((1/Konstanta!$B$4)-(1/Konstanta!$B$5))</f>
        <v>0.50491249139554606</v>
      </c>
      <c r="C175" s="16">
        <f t="shared" si="4"/>
        <v>12.117899793493105</v>
      </c>
      <c r="D175" s="17" t="str">
        <f t="shared" si="5"/>
        <v>&lt;14K</v>
      </c>
    </row>
    <row r="176" spans="1:4" x14ac:dyDescent="0.25">
      <c r="A176" s="14">
        <v>12.23</v>
      </c>
      <c r="B176" s="15">
        <f>((1/A176)-(1/Konstanta!$B$5))/((1/Konstanta!$B$4)-(1/Konstanta!$B$5))</f>
        <v>0.50600989578657463</v>
      </c>
      <c r="C176" s="16">
        <f t="shared" si="4"/>
        <v>12.144237498877791</v>
      </c>
      <c r="D176" s="17" t="str">
        <f t="shared" si="5"/>
        <v>&lt;14K</v>
      </c>
    </row>
    <row r="177" spans="1:4" x14ac:dyDescent="0.25">
      <c r="A177" s="14">
        <v>12.24</v>
      </c>
      <c r="B177" s="15">
        <f>((1/A177)-(1/Konstanta!$B$5))/((1/Konstanta!$B$4)-(1/Konstanta!$B$5))</f>
        <v>0.50710550703317347</v>
      </c>
      <c r="C177" s="16">
        <f t="shared" si="4"/>
        <v>12.170532168796164</v>
      </c>
      <c r="D177" s="17" t="str">
        <f t="shared" si="5"/>
        <v>&lt;14K</v>
      </c>
    </row>
    <row r="178" spans="1:4" x14ac:dyDescent="0.25">
      <c r="A178" s="14">
        <v>12.25</v>
      </c>
      <c r="B178" s="15">
        <f>((1/A178)-(1/Konstanta!$B$5))/((1/Konstanta!$B$4)-(1/Konstanta!$B$5))</f>
        <v>0.50819932952671676</v>
      </c>
      <c r="C178" s="16">
        <f t="shared" si="4"/>
        <v>12.196783908641201</v>
      </c>
      <c r="D178" s="17" t="str">
        <f t="shared" si="5"/>
        <v>&lt;14K</v>
      </c>
    </row>
    <row r="179" spans="1:4" x14ac:dyDescent="0.25">
      <c r="A179" s="14">
        <v>12.26</v>
      </c>
      <c r="B179" s="15">
        <f>((1/A179)-(1/Konstanta!$B$5))/((1/Konstanta!$B$4)-(1/Konstanta!$B$5))</f>
        <v>0.50929136764425076</v>
      </c>
      <c r="C179" s="16">
        <f t="shared" si="4"/>
        <v>12.222992823462018</v>
      </c>
      <c r="D179" s="17" t="str">
        <f t="shared" si="5"/>
        <v>&lt;14K</v>
      </c>
    </row>
    <row r="180" spans="1:4" x14ac:dyDescent="0.25">
      <c r="A180" s="14">
        <v>12.27</v>
      </c>
      <c r="B180" s="15">
        <f>((1/A180)-(1/Konstanta!$B$5))/((1/Konstanta!$B$4)-(1/Konstanta!$B$5))</f>
        <v>0.51038162574855339</v>
      </c>
      <c r="C180" s="16">
        <f t="shared" si="4"/>
        <v>12.249159017965281</v>
      </c>
      <c r="D180" s="17" t="str">
        <f t="shared" si="5"/>
        <v>&lt;14K</v>
      </c>
    </row>
    <row r="181" spans="1:4" x14ac:dyDescent="0.25">
      <c r="A181" s="14">
        <v>12.28</v>
      </c>
      <c r="B181" s="15">
        <f>((1/A181)-(1/Konstanta!$B$5))/((1/Konstanta!$B$4)-(1/Konstanta!$B$5))</f>
        <v>0.51147010818819094</v>
      </c>
      <c r="C181" s="16">
        <f t="shared" si="4"/>
        <v>12.275282596516583</v>
      </c>
      <c r="D181" s="17" t="str">
        <f t="shared" si="5"/>
        <v>&lt;14K</v>
      </c>
    </row>
    <row r="182" spans="1:4" x14ac:dyDescent="0.25">
      <c r="A182" s="14">
        <v>12.29</v>
      </c>
      <c r="B182" s="15">
        <f>((1/A182)-(1/Konstanta!$B$5))/((1/Konstanta!$B$4)-(1/Konstanta!$B$5))</f>
        <v>0.5125568192975769</v>
      </c>
      <c r="C182" s="16">
        <f t="shared" si="4"/>
        <v>12.301363663141846</v>
      </c>
      <c r="D182" s="17" t="str">
        <f t="shared" si="5"/>
        <v>&lt;14K</v>
      </c>
    </row>
    <row r="183" spans="1:4" x14ac:dyDescent="0.25">
      <c r="A183" s="14">
        <v>12.3</v>
      </c>
      <c r="B183" s="15">
        <f>((1/A183)-(1/Konstanta!$B$5))/((1/Konstanta!$B$4)-(1/Konstanta!$B$5))</f>
        <v>0.51364176339702916</v>
      </c>
      <c r="C183" s="16">
        <f t="shared" si="4"/>
        <v>12.3274023215287</v>
      </c>
      <c r="D183" s="17" t="str">
        <f t="shared" si="5"/>
        <v>&lt;14K</v>
      </c>
    </row>
    <row r="184" spans="1:4" x14ac:dyDescent="0.25">
      <c r="A184" s="14">
        <v>12.31</v>
      </c>
      <c r="B184" s="15">
        <f>((1/A184)-(1/Konstanta!$B$5))/((1/Konstanta!$B$4)-(1/Konstanta!$B$5))</f>
        <v>0.5147249447928266</v>
      </c>
      <c r="C184" s="16">
        <f t="shared" si="4"/>
        <v>12.353398675027838</v>
      </c>
      <c r="D184" s="17" t="str">
        <f t="shared" si="5"/>
        <v>&lt;14K</v>
      </c>
    </row>
    <row r="185" spans="1:4" x14ac:dyDescent="0.25">
      <c r="A185" s="14">
        <v>12.32</v>
      </c>
      <c r="B185" s="15">
        <f>((1/A185)-(1/Konstanta!$B$5))/((1/Konstanta!$B$4)-(1/Konstanta!$B$5))</f>
        <v>0.51580636777726707</v>
      </c>
      <c r="C185" s="16">
        <f t="shared" si="4"/>
        <v>12.37935282665441</v>
      </c>
      <c r="D185" s="17" t="str">
        <f t="shared" si="5"/>
        <v>&lt;14K</v>
      </c>
    </row>
    <row r="186" spans="1:4" x14ac:dyDescent="0.25">
      <c r="A186" s="14">
        <v>12.33</v>
      </c>
      <c r="B186" s="15">
        <f>((1/A186)-(1/Konstanta!$B$5))/((1/Konstanta!$B$4)-(1/Konstanta!$B$5))</f>
        <v>0.51688603662872401</v>
      </c>
      <c r="C186" s="16">
        <f t="shared" si="4"/>
        <v>12.405264879089376</v>
      </c>
      <c r="D186" s="17" t="str">
        <f t="shared" si="5"/>
        <v>&lt;14K</v>
      </c>
    </row>
    <row r="187" spans="1:4" x14ac:dyDescent="0.25">
      <c r="A187" s="14">
        <v>12.34</v>
      </c>
      <c r="B187" s="15">
        <f>((1/A187)-(1/Konstanta!$B$5))/((1/Konstanta!$B$4)-(1/Konstanta!$B$5))</f>
        <v>0.51796395561170183</v>
      </c>
      <c r="C187" s="16">
        <f t="shared" si="4"/>
        <v>12.431134934680845</v>
      </c>
      <c r="D187" s="17" t="str">
        <f t="shared" si="5"/>
        <v>&lt;14K</v>
      </c>
    </row>
    <row r="188" spans="1:4" x14ac:dyDescent="0.25">
      <c r="A188" s="14">
        <v>12.35</v>
      </c>
      <c r="B188" s="15">
        <f>((1/A188)-(1/Konstanta!$B$5))/((1/Konstanta!$B$4)-(1/Konstanta!$B$5))</f>
        <v>0.51904012897689367</v>
      </c>
      <c r="C188" s="16">
        <f t="shared" si="4"/>
        <v>12.456963095445449</v>
      </c>
      <c r="D188" s="17" t="str">
        <f t="shared" si="5"/>
        <v>&lt;14K</v>
      </c>
    </row>
    <row r="189" spans="1:4" x14ac:dyDescent="0.25">
      <c r="A189" s="14">
        <v>12.36</v>
      </c>
      <c r="B189" s="15">
        <f>((1/A189)-(1/Konstanta!$B$5))/((1/Konstanta!$B$4)-(1/Konstanta!$B$5))</f>
        <v>0.52011456096123554</v>
      </c>
      <c r="C189" s="16">
        <f t="shared" si="4"/>
        <v>12.482749463069652</v>
      </c>
      <c r="D189" s="17" t="str">
        <f t="shared" si="5"/>
        <v>&lt;14K</v>
      </c>
    </row>
    <row r="190" spans="1:4" x14ac:dyDescent="0.25">
      <c r="A190" s="14">
        <v>12.37</v>
      </c>
      <c r="B190" s="15">
        <f>((1/A190)-(1/Konstanta!$B$5))/((1/Konstanta!$B$4)-(1/Konstanta!$B$5))</f>
        <v>0.52118725578796354</v>
      </c>
      <c r="C190" s="16">
        <f t="shared" si="4"/>
        <v>12.508494138911125</v>
      </c>
      <c r="D190" s="17" t="str">
        <f t="shared" si="5"/>
        <v>&lt;14K</v>
      </c>
    </row>
    <row r="191" spans="1:4" x14ac:dyDescent="0.25">
      <c r="A191" s="14">
        <v>12.38</v>
      </c>
      <c r="B191" s="15">
        <f>((1/A191)-(1/Konstanta!$B$5))/((1/Konstanta!$B$4)-(1/Konstanta!$B$5))</f>
        <v>0.52225821766666758</v>
      </c>
      <c r="C191" s="16">
        <f t="shared" si="4"/>
        <v>12.534197224000021</v>
      </c>
      <c r="D191" s="17" t="str">
        <f t="shared" si="5"/>
        <v>&lt;14K</v>
      </c>
    </row>
    <row r="192" spans="1:4" x14ac:dyDescent="0.25">
      <c r="A192" s="14">
        <v>12.39</v>
      </c>
      <c r="B192" s="15">
        <f>((1/A192)-(1/Konstanta!$B$5))/((1/Konstanta!$B$4)-(1/Konstanta!$B$5))</f>
        <v>0.52332745079334797</v>
      </c>
      <c r="C192" s="16">
        <f t="shared" si="4"/>
        <v>12.55985881904035</v>
      </c>
      <c r="D192" s="17" t="str">
        <f t="shared" si="5"/>
        <v>&lt;14K</v>
      </c>
    </row>
    <row r="193" spans="1:4" x14ac:dyDescent="0.25">
      <c r="A193" s="14">
        <v>12.4</v>
      </c>
      <c r="B193" s="15">
        <f>((1/A193)-(1/Konstanta!$B$5))/((1/Konstanta!$B$4)-(1/Konstanta!$B$5))</f>
        <v>0.52439495935046909</v>
      </c>
      <c r="C193" s="16">
        <f t="shared" si="4"/>
        <v>12.585479024411258</v>
      </c>
      <c r="D193" s="17" t="str">
        <f t="shared" si="5"/>
        <v>&lt;14K</v>
      </c>
    </row>
    <row r="194" spans="1:4" x14ac:dyDescent="0.25">
      <c r="A194" s="14">
        <v>12.41</v>
      </c>
      <c r="B194" s="15">
        <f>((1/A194)-(1/Konstanta!$B$5))/((1/Konstanta!$B$4)-(1/Konstanta!$B$5))</f>
        <v>0.52546074750701466</v>
      </c>
      <c r="C194" s="16">
        <f t="shared" si="4"/>
        <v>12.611057940168351</v>
      </c>
      <c r="D194" s="17" t="str">
        <f t="shared" si="5"/>
        <v>&lt;14K</v>
      </c>
    </row>
    <row r="195" spans="1:4" x14ac:dyDescent="0.25">
      <c r="A195" s="14">
        <v>12.42</v>
      </c>
      <c r="B195" s="15">
        <f>((1/A195)-(1/Konstanta!$B$5))/((1/Konstanta!$B$4)-(1/Konstanta!$B$5))</f>
        <v>0.52652481941854179</v>
      </c>
      <c r="C195" s="16">
        <f t="shared" si="4"/>
        <v>12.636595666045004</v>
      </c>
      <c r="D195" s="17" t="str">
        <f t="shared" si="5"/>
        <v>&lt;14K</v>
      </c>
    </row>
    <row r="196" spans="1:4" x14ac:dyDescent="0.25">
      <c r="A196" s="14">
        <v>12.43</v>
      </c>
      <c r="B196" s="15">
        <f>((1/A196)-(1/Konstanta!$B$5))/((1/Konstanta!$B$4)-(1/Konstanta!$B$5))</f>
        <v>0.52758717922723442</v>
      </c>
      <c r="C196" s="16">
        <f t="shared" ref="C196:C259" si="6">B196*24</f>
        <v>12.662092301453626</v>
      </c>
      <c r="D196" s="17" t="str">
        <f t="shared" ref="D196:D259" si="7">IF(ROUND(C196,0)=24,"24K (murni)",IF(ROUND(C196,0)&gt;=22,"~22K",IF(ROUND(C196,0)&gt;=18,"~18K",IF(ROUND(C196,0)&gt;=14,"~14K","&lt;14K"))))</f>
        <v>&lt;14K</v>
      </c>
    </row>
    <row r="197" spans="1:4" x14ac:dyDescent="0.25">
      <c r="A197" s="14">
        <v>12.44</v>
      </c>
      <c r="B197" s="15">
        <f>((1/A197)-(1/Konstanta!$B$5))/((1/Konstanta!$B$4)-(1/Konstanta!$B$5))</f>
        <v>0.52864783106195812</v>
      </c>
      <c r="C197" s="16">
        <f t="shared" si="6"/>
        <v>12.687547945486994</v>
      </c>
      <c r="D197" s="17" t="str">
        <f t="shared" si="7"/>
        <v>&lt;14K</v>
      </c>
    </row>
    <row r="198" spans="1:4" x14ac:dyDescent="0.25">
      <c r="A198" s="14">
        <v>12.45</v>
      </c>
      <c r="B198" s="15">
        <f>((1/A198)-(1/Konstanta!$B$5))/((1/Konstanta!$B$4)-(1/Konstanta!$B$5))</f>
        <v>0.52970677903831287</v>
      </c>
      <c r="C198" s="16">
        <f t="shared" si="6"/>
        <v>12.712962696919508</v>
      </c>
      <c r="D198" s="17" t="str">
        <f t="shared" si="7"/>
        <v>&lt;14K</v>
      </c>
    </row>
    <row r="199" spans="1:4" x14ac:dyDescent="0.25">
      <c r="A199" s="14">
        <v>12.46</v>
      </c>
      <c r="B199" s="15">
        <f>((1/A199)-(1/Konstanta!$B$5))/((1/Konstanta!$B$4)-(1/Konstanta!$B$5))</f>
        <v>0.53076402725868632</v>
      </c>
      <c r="C199" s="16">
        <f t="shared" si="6"/>
        <v>12.738336654208471</v>
      </c>
      <c r="D199" s="17" t="str">
        <f t="shared" si="7"/>
        <v>&lt;14K</v>
      </c>
    </row>
    <row r="200" spans="1:4" x14ac:dyDescent="0.25">
      <c r="A200" s="14">
        <v>12.47</v>
      </c>
      <c r="B200" s="15">
        <f>((1/A200)-(1/Konstanta!$B$5))/((1/Konstanta!$B$4)-(1/Konstanta!$B$5))</f>
        <v>0.53181957981230688</v>
      </c>
      <c r="C200" s="16">
        <f t="shared" si="6"/>
        <v>12.763669915495365</v>
      </c>
      <c r="D200" s="17" t="str">
        <f t="shared" si="7"/>
        <v>&lt;14K</v>
      </c>
    </row>
    <row r="201" spans="1:4" x14ac:dyDescent="0.25">
      <c r="A201" s="14">
        <v>12.48</v>
      </c>
      <c r="B201" s="15">
        <f>((1/A201)-(1/Konstanta!$B$5))/((1/Konstanta!$B$4)-(1/Konstanta!$B$5))</f>
        <v>0.53287344077529686</v>
      </c>
      <c r="C201" s="16">
        <f t="shared" si="6"/>
        <v>12.788962578607125</v>
      </c>
      <c r="D201" s="17" t="str">
        <f t="shared" si="7"/>
        <v>&lt;14K</v>
      </c>
    </row>
    <row r="202" spans="1:4" x14ac:dyDescent="0.25">
      <c r="A202" s="14">
        <v>12.49</v>
      </c>
      <c r="B202" s="15">
        <f>((1/A202)-(1/Konstanta!$B$5))/((1/Konstanta!$B$4)-(1/Konstanta!$B$5))</f>
        <v>0.53392561421072371</v>
      </c>
      <c r="C202" s="16">
        <f t="shared" si="6"/>
        <v>12.81421474105737</v>
      </c>
      <c r="D202" s="17" t="str">
        <f t="shared" si="7"/>
        <v>&lt;14K</v>
      </c>
    </row>
    <row r="203" spans="1:4" x14ac:dyDescent="0.25">
      <c r="A203" s="14">
        <v>12.5</v>
      </c>
      <c r="B203" s="15">
        <f>((1/A203)-(1/Konstanta!$B$5))/((1/Konstanta!$B$4)-(1/Konstanta!$B$5))</f>
        <v>0.53497610416865393</v>
      </c>
      <c r="C203" s="16">
        <f t="shared" si="6"/>
        <v>12.839426500047693</v>
      </c>
      <c r="D203" s="17" t="str">
        <f t="shared" si="7"/>
        <v>&lt;14K</v>
      </c>
    </row>
    <row r="204" spans="1:4" x14ac:dyDescent="0.25">
      <c r="A204" s="14">
        <v>12.51</v>
      </c>
      <c r="B204" s="15">
        <f>((1/A204)-(1/Konstanta!$B$5))/((1/Konstanta!$B$4)-(1/Konstanta!$B$5))</f>
        <v>0.53602491468620372</v>
      </c>
      <c r="C204" s="16">
        <f t="shared" si="6"/>
        <v>12.864597952468889</v>
      </c>
      <c r="D204" s="17" t="str">
        <f t="shared" si="7"/>
        <v>&lt;14K</v>
      </c>
    </row>
    <row r="205" spans="1:4" x14ac:dyDescent="0.25">
      <c r="A205" s="14">
        <v>12.52</v>
      </c>
      <c r="B205" s="15">
        <f>((1/A205)-(1/Konstanta!$B$5))/((1/Konstanta!$B$4)-(1/Konstanta!$B$5))</f>
        <v>0.5370720497875916</v>
      </c>
      <c r="C205" s="16">
        <f t="shared" si="6"/>
        <v>12.889729194902198</v>
      </c>
      <c r="D205" s="17" t="str">
        <f t="shared" si="7"/>
        <v>&lt;14K</v>
      </c>
    </row>
    <row r="206" spans="1:4" x14ac:dyDescent="0.25">
      <c r="A206" s="14">
        <v>12.53</v>
      </c>
      <c r="B206" s="15">
        <f>((1/A206)-(1/Konstanta!$B$5))/((1/Konstanta!$B$4)-(1/Konstanta!$B$5))</f>
        <v>0.53811751348418846</v>
      </c>
      <c r="C206" s="16">
        <f t="shared" si="6"/>
        <v>12.914820323620523</v>
      </c>
      <c r="D206" s="17" t="str">
        <f t="shared" si="7"/>
        <v>&lt;14K</v>
      </c>
    </row>
    <row r="207" spans="1:4" x14ac:dyDescent="0.25">
      <c r="A207" s="14">
        <v>12.54</v>
      </c>
      <c r="B207" s="15">
        <f>((1/A207)-(1/Konstanta!$B$5))/((1/Konstanta!$B$4)-(1/Konstanta!$B$5))</f>
        <v>0.53916130977457066</v>
      </c>
      <c r="C207" s="16">
        <f t="shared" si="6"/>
        <v>12.939871434589696</v>
      </c>
      <c r="D207" s="17" t="str">
        <f t="shared" si="7"/>
        <v>&lt;14K</v>
      </c>
    </row>
    <row r="208" spans="1:4" x14ac:dyDescent="0.25">
      <c r="A208" s="14">
        <v>12.55</v>
      </c>
      <c r="B208" s="15">
        <f>((1/A208)-(1/Konstanta!$B$5))/((1/Konstanta!$B$4)-(1/Konstanta!$B$5))</f>
        <v>0.54020344264456999</v>
      </c>
      <c r="C208" s="16">
        <f t="shared" si="6"/>
        <v>12.964882623469681</v>
      </c>
      <c r="D208" s="17" t="str">
        <f t="shared" si="7"/>
        <v>&lt;14K</v>
      </c>
    </row>
    <row r="209" spans="1:4" x14ac:dyDescent="0.25">
      <c r="A209" s="14">
        <v>12.56</v>
      </c>
      <c r="B209" s="15">
        <f>((1/A209)-(1/Konstanta!$B$5))/((1/Konstanta!$B$4)-(1/Konstanta!$B$5))</f>
        <v>0.54124391606732403</v>
      </c>
      <c r="C209" s="16">
        <f t="shared" si="6"/>
        <v>12.989853985615778</v>
      </c>
      <c r="D209" s="17" t="str">
        <f t="shared" si="7"/>
        <v>&lt;14K</v>
      </c>
    </row>
    <row r="210" spans="1:4" x14ac:dyDescent="0.25">
      <c r="A210" s="14">
        <v>12.57</v>
      </c>
      <c r="B210" s="15">
        <f>((1/A210)-(1/Konstanta!$B$5))/((1/Konstanta!$B$4)-(1/Konstanta!$B$5))</f>
        <v>0.54228273400332738</v>
      </c>
      <c r="C210" s="16">
        <f t="shared" si="6"/>
        <v>13.014785616079857</v>
      </c>
      <c r="D210" s="17" t="str">
        <f t="shared" si="7"/>
        <v>&lt;14K</v>
      </c>
    </row>
    <row r="211" spans="1:4" x14ac:dyDescent="0.25">
      <c r="A211" s="14">
        <v>12.58</v>
      </c>
      <c r="B211" s="15">
        <f>((1/A211)-(1/Konstanta!$B$5))/((1/Konstanta!$B$4)-(1/Konstanta!$B$5))</f>
        <v>0.54331990040048173</v>
      </c>
      <c r="C211" s="16">
        <f t="shared" si="6"/>
        <v>13.039677609611562</v>
      </c>
      <c r="D211" s="17" t="str">
        <f t="shared" si="7"/>
        <v>&lt;14K</v>
      </c>
    </row>
    <row r="212" spans="1:4" x14ac:dyDescent="0.25">
      <c r="A212" s="14">
        <v>12.59</v>
      </c>
      <c r="B212" s="15">
        <f>((1/A212)-(1/Konstanta!$B$5))/((1/Konstanta!$B$4)-(1/Konstanta!$B$5))</f>
        <v>0.54435541919414587</v>
      </c>
      <c r="C212" s="16">
        <f t="shared" si="6"/>
        <v>13.0645300606595</v>
      </c>
      <c r="D212" s="17" t="str">
        <f t="shared" si="7"/>
        <v>&lt;14K</v>
      </c>
    </row>
    <row r="213" spans="1:4" x14ac:dyDescent="0.25">
      <c r="A213" s="14">
        <v>12.6</v>
      </c>
      <c r="B213" s="15">
        <f>((1/A213)-(1/Konstanta!$B$5))/((1/Konstanta!$B$4)-(1/Konstanta!$B$5))</f>
        <v>0.54538929430718519</v>
      </c>
      <c r="C213" s="16">
        <f t="shared" si="6"/>
        <v>13.089343063372445</v>
      </c>
      <c r="D213" s="17" t="str">
        <f t="shared" si="7"/>
        <v>&lt;14K</v>
      </c>
    </row>
    <row r="214" spans="1:4" x14ac:dyDescent="0.25">
      <c r="A214" s="14">
        <v>12.61</v>
      </c>
      <c r="B214" s="15">
        <f>((1/A214)-(1/Konstanta!$B$5))/((1/Konstanta!$B$4)-(1/Konstanta!$B$5))</f>
        <v>0.54642152965002111</v>
      </c>
      <c r="C214" s="16">
        <f t="shared" si="6"/>
        <v>13.114116711600506</v>
      </c>
      <c r="D214" s="17" t="str">
        <f t="shared" si="7"/>
        <v>&lt;14K</v>
      </c>
    </row>
    <row r="215" spans="1:4" x14ac:dyDescent="0.25">
      <c r="A215" s="14">
        <v>12.62</v>
      </c>
      <c r="B215" s="15">
        <f>((1/A215)-(1/Konstanta!$B$5))/((1/Konstanta!$B$4)-(1/Konstanta!$B$5))</f>
        <v>0.54745212912068164</v>
      </c>
      <c r="C215" s="16">
        <f t="shared" si="6"/>
        <v>13.13885109889636</v>
      </c>
      <c r="D215" s="17" t="str">
        <f t="shared" si="7"/>
        <v>&lt;14K</v>
      </c>
    </row>
    <row r="216" spans="1:4" x14ac:dyDescent="0.25">
      <c r="A216" s="14">
        <v>12.63</v>
      </c>
      <c r="B216" s="15">
        <f>((1/A216)-(1/Konstanta!$B$5))/((1/Konstanta!$B$4)-(1/Konstanta!$B$5))</f>
        <v>0.54848109660484889</v>
      </c>
      <c r="C216" s="16">
        <f t="shared" si="6"/>
        <v>13.163546318516374</v>
      </c>
      <c r="D216" s="17" t="str">
        <f t="shared" si="7"/>
        <v>&lt;14K</v>
      </c>
    </row>
    <row r="217" spans="1:4" x14ac:dyDescent="0.25">
      <c r="A217" s="14">
        <v>12.64</v>
      </c>
      <c r="B217" s="15">
        <f>((1/A217)-(1/Konstanta!$B$5))/((1/Konstanta!$B$4)-(1/Konstanta!$B$5))</f>
        <v>0.54950843597590804</v>
      </c>
      <c r="C217" s="16">
        <f t="shared" si="6"/>
        <v>13.188202463421792</v>
      </c>
      <c r="D217" s="17" t="str">
        <f t="shared" si="7"/>
        <v>&lt;14K</v>
      </c>
    </row>
    <row r="218" spans="1:4" x14ac:dyDescent="0.25">
      <c r="A218" s="14">
        <v>12.65</v>
      </c>
      <c r="B218" s="15">
        <f>((1/A218)-(1/Konstanta!$B$5))/((1/Konstanta!$B$4)-(1/Konstanta!$B$5))</f>
        <v>0.55053415109499693</v>
      </c>
      <c r="C218" s="16">
        <f t="shared" si="6"/>
        <v>13.212819626279927</v>
      </c>
      <c r="D218" s="17" t="str">
        <f t="shared" si="7"/>
        <v>&lt;14K</v>
      </c>
    </row>
    <row r="219" spans="1:4" x14ac:dyDescent="0.25">
      <c r="A219" s="14">
        <v>12.66</v>
      </c>
      <c r="B219" s="15">
        <f>((1/A219)-(1/Konstanta!$B$5))/((1/Konstanta!$B$4)-(1/Konstanta!$B$5))</f>
        <v>0.55155824581105428</v>
      </c>
      <c r="C219" s="16">
        <f t="shared" si="6"/>
        <v>13.237397899465304</v>
      </c>
      <c r="D219" s="17" t="str">
        <f t="shared" si="7"/>
        <v>&lt;14K</v>
      </c>
    </row>
    <row r="220" spans="1:4" x14ac:dyDescent="0.25">
      <c r="A220" s="14">
        <v>12.67</v>
      </c>
      <c r="B220" s="15">
        <f>((1/A220)-(1/Konstanta!$B$5))/((1/Konstanta!$B$4)-(1/Konstanta!$B$5))</f>
        <v>0.55258072396086688</v>
      </c>
      <c r="C220" s="16">
        <f t="shared" si="6"/>
        <v>13.261937375060805</v>
      </c>
      <c r="D220" s="17" t="str">
        <f t="shared" si="7"/>
        <v>&lt;14K</v>
      </c>
    </row>
    <row r="221" spans="1:4" x14ac:dyDescent="0.25">
      <c r="A221" s="14">
        <v>12.68</v>
      </c>
      <c r="B221" s="15">
        <f>((1/A221)-(1/Konstanta!$B$5))/((1/Konstanta!$B$4)-(1/Konstanta!$B$5))</f>
        <v>0.5536015893691183</v>
      </c>
      <c r="C221" s="16">
        <f t="shared" si="6"/>
        <v>13.286438144858838</v>
      </c>
      <c r="D221" s="17" t="str">
        <f t="shared" si="7"/>
        <v>&lt;14K</v>
      </c>
    </row>
    <row r="222" spans="1:4" x14ac:dyDescent="0.25">
      <c r="A222" s="14">
        <v>12.69</v>
      </c>
      <c r="B222" s="15">
        <f>((1/A222)-(1/Konstanta!$B$5))/((1/Konstanta!$B$4)-(1/Konstanta!$B$5))</f>
        <v>0.55462084584843607</v>
      </c>
      <c r="C222" s="16">
        <f t="shared" si="6"/>
        <v>13.310900300362466</v>
      </c>
      <c r="D222" s="17" t="str">
        <f t="shared" si="7"/>
        <v>&lt;14K</v>
      </c>
    </row>
    <row r="223" spans="1:4" x14ac:dyDescent="0.25">
      <c r="A223" s="14">
        <v>12.7</v>
      </c>
      <c r="B223" s="15">
        <f>((1/A223)-(1/Konstanta!$B$5))/((1/Konstanta!$B$4)-(1/Konstanta!$B$5))</f>
        <v>0.55563849719944025</v>
      </c>
      <c r="C223" s="16">
        <f t="shared" si="6"/>
        <v>13.335323932786565</v>
      </c>
      <c r="D223" s="17" t="str">
        <f t="shared" si="7"/>
        <v>&lt;14K</v>
      </c>
    </row>
    <row r="224" spans="1:4" x14ac:dyDescent="0.25">
      <c r="A224" s="14">
        <v>12.71</v>
      </c>
      <c r="B224" s="15">
        <f>((1/A224)-(1/Konstanta!$B$5))/((1/Konstanta!$B$4)-(1/Konstanta!$B$5))</f>
        <v>0.55665454721078889</v>
      </c>
      <c r="C224" s="16">
        <f t="shared" si="6"/>
        <v>13.359709133058933</v>
      </c>
      <c r="D224" s="17" t="str">
        <f t="shared" si="7"/>
        <v>&lt;14K</v>
      </c>
    </row>
    <row r="225" spans="1:4" x14ac:dyDescent="0.25">
      <c r="A225" s="14">
        <v>12.72</v>
      </c>
      <c r="B225" s="15">
        <f>((1/A225)-(1/Konstanta!$B$5))/((1/Konstanta!$B$4)-(1/Konstanta!$B$5))</f>
        <v>0.55766899965922667</v>
      </c>
      <c r="C225" s="16">
        <f t="shared" si="6"/>
        <v>13.384055991821441</v>
      </c>
      <c r="D225" s="17" t="str">
        <f t="shared" si="7"/>
        <v>&lt;14K</v>
      </c>
    </row>
    <row r="226" spans="1:4" x14ac:dyDescent="0.25">
      <c r="A226" s="14">
        <v>12.73</v>
      </c>
      <c r="B226" s="15">
        <f>((1/A226)-(1/Konstanta!$B$5))/((1/Konstanta!$B$4)-(1/Konstanta!$B$5))</f>
        <v>0.55868185830963069</v>
      </c>
      <c r="C226" s="16">
        <f t="shared" si="6"/>
        <v>13.408364599431136</v>
      </c>
      <c r="D226" s="17" t="str">
        <f t="shared" si="7"/>
        <v>&lt;14K</v>
      </c>
    </row>
    <row r="227" spans="1:4" x14ac:dyDescent="0.25">
      <c r="A227" s="14">
        <v>12.74</v>
      </c>
      <c r="B227" s="15">
        <f>((1/A227)-(1/Konstanta!$B$5))/((1/Konstanta!$B$4)-(1/Konstanta!$B$5))</f>
        <v>0.55969312691505757</v>
      </c>
      <c r="C227" s="16">
        <f t="shared" si="6"/>
        <v>13.432635045961382</v>
      </c>
      <c r="D227" s="17" t="str">
        <f t="shared" si="7"/>
        <v>&lt;14K</v>
      </c>
    </row>
    <row r="228" spans="1:4" x14ac:dyDescent="0.25">
      <c r="A228" s="14">
        <v>12.75</v>
      </c>
      <c r="B228" s="15">
        <f>((1/A228)-(1/Konstanta!$B$5))/((1/Konstanta!$B$4)-(1/Konstanta!$B$5))</f>
        <v>0.56070280921678983</v>
      </c>
      <c r="C228" s="16">
        <f t="shared" si="6"/>
        <v>13.456867421202956</v>
      </c>
      <c r="D228" s="17" t="str">
        <f t="shared" si="7"/>
        <v>&lt;14K</v>
      </c>
    </row>
    <row r="229" spans="1:4" x14ac:dyDescent="0.25">
      <c r="A229" s="14">
        <v>12.76</v>
      </c>
      <c r="B229" s="15">
        <f>((1/A229)-(1/Konstanta!$B$5))/((1/Konstanta!$B$4)-(1/Konstanta!$B$5))</f>
        <v>0.56171090894438125</v>
      </c>
      <c r="C229" s="16">
        <f t="shared" si="6"/>
        <v>13.48106181466515</v>
      </c>
      <c r="D229" s="17" t="str">
        <f t="shared" si="7"/>
        <v>&lt;14K</v>
      </c>
    </row>
    <row r="230" spans="1:4" x14ac:dyDescent="0.25">
      <c r="A230" s="14">
        <v>12.77</v>
      </c>
      <c r="B230" s="15">
        <f>((1/A230)-(1/Konstanta!$B$5))/((1/Konstanta!$B$4)-(1/Konstanta!$B$5))</f>
        <v>0.56271742981570405</v>
      </c>
      <c r="C230" s="16">
        <f t="shared" si="6"/>
        <v>13.505218315576897</v>
      </c>
      <c r="D230" s="17" t="str">
        <f t="shared" si="7"/>
        <v>~14K</v>
      </c>
    </row>
    <row r="231" spans="1:4" x14ac:dyDescent="0.25">
      <c r="A231" s="14">
        <v>12.78</v>
      </c>
      <c r="B231" s="15">
        <f>((1/A231)-(1/Konstanta!$B$5))/((1/Konstanta!$B$4)-(1/Konstanta!$B$5))</f>
        <v>0.56372237553699345</v>
      </c>
      <c r="C231" s="16">
        <f t="shared" si="6"/>
        <v>13.529337012887844</v>
      </c>
      <c r="D231" s="17" t="str">
        <f t="shared" si="7"/>
        <v>~14K</v>
      </c>
    </row>
    <row r="232" spans="1:4" x14ac:dyDescent="0.25">
      <c r="A232" s="14">
        <v>12.79</v>
      </c>
      <c r="B232" s="15">
        <f>((1/A232)-(1/Konstanta!$B$5))/((1/Konstanta!$B$4)-(1/Konstanta!$B$5))</f>
        <v>0.5647257498028937</v>
      </c>
      <c r="C232" s="16">
        <f t="shared" si="6"/>
        <v>13.553417995269449</v>
      </c>
      <c r="D232" s="17" t="str">
        <f t="shared" si="7"/>
        <v>~14K</v>
      </c>
    </row>
    <row r="233" spans="1:4" x14ac:dyDescent="0.25">
      <c r="A233" s="14">
        <v>12.8</v>
      </c>
      <c r="B233" s="15">
        <f>((1/A233)-(1/Konstanta!$B$5))/((1/Konstanta!$B$4)-(1/Konstanta!$B$5))</f>
        <v>0.56572755629650384</v>
      </c>
      <c r="C233" s="16">
        <f t="shared" si="6"/>
        <v>13.577461351116092</v>
      </c>
      <c r="D233" s="17" t="str">
        <f t="shared" si="7"/>
        <v>~14K</v>
      </c>
    </row>
    <row r="234" spans="1:4" x14ac:dyDescent="0.25">
      <c r="A234" s="14">
        <v>12.81</v>
      </c>
      <c r="B234" s="15">
        <f>((1/A234)-(1/Konstanta!$B$5))/((1/Konstanta!$B$4)-(1/Konstanta!$B$5))</f>
        <v>0.56672779868942103</v>
      </c>
      <c r="C234" s="16">
        <f t="shared" si="6"/>
        <v>13.601467168546105</v>
      </c>
      <c r="D234" s="17" t="str">
        <f t="shared" si="7"/>
        <v>~14K</v>
      </c>
    </row>
    <row r="235" spans="1:4" x14ac:dyDescent="0.25">
      <c r="A235" s="14">
        <v>12.82</v>
      </c>
      <c r="B235" s="15">
        <f>((1/A235)-(1/Konstanta!$B$5))/((1/Konstanta!$B$4)-(1/Konstanta!$B$5))</f>
        <v>0.56772648064178777</v>
      </c>
      <c r="C235" s="16">
        <f t="shared" si="6"/>
        <v>13.625435535402907</v>
      </c>
      <c r="D235" s="17" t="str">
        <f t="shared" si="7"/>
        <v>~14K</v>
      </c>
    </row>
    <row r="236" spans="1:4" x14ac:dyDescent="0.25">
      <c r="A236" s="14">
        <v>12.83</v>
      </c>
      <c r="B236" s="15">
        <f>((1/A236)-(1/Konstanta!$B$5))/((1/Konstanta!$B$4)-(1/Konstanta!$B$5))</f>
        <v>0.56872360580233494</v>
      </c>
      <c r="C236" s="16">
        <f t="shared" si="6"/>
        <v>13.649366539256039</v>
      </c>
      <c r="D236" s="17" t="str">
        <f t="shared" si="7"/>
        <v>~14K</v>
      </c>
    </row>
    <row r="237" spans="1:4" x14ac:dyDescent="0.25">
      <c r="A237" s="14">
        <v>12.84</v>
      </c>
      <c r="B237" s="15">
        <f>((1/A237)-(1/Konstanta!$B$5))/((1/Konstanta!$B$4)-(1/Konstanta!$B$5))</f>
        <v>0.56971917780842629</v>
      </c>
      <c r="C237" s="16">
        <f t="shared" si="6"/>
        <v>13.673260267402231</v>
      </c>
      <c r="D237" s="17" t="str">
        <f t="shared" si="7"/>
        <v>~14K</v>
      </c>
    </row>
    <row r="238" spans="1:4" x14ac:dyDescent="0.25">
      <c r="A238" s="14">
        <v>12.85</v>
      </c>
      <c r="B238" s="15">
        <f>((1/A238)-(1/Konstanta!$B$5))/((1/Konstanta!$B$4)-(1/Konstanta!$B$5))</f>
        <v>0.57071320028610328</v>
      </c>
      <c r="C238" s="16">
        <f t="shared" si="6"/>
        <v>13.697116806866479</v>
      </c>
      <c r="D238" s="17" t="str">
        <f t="shared" si="7"/>
        <v>~14K</v>
      </c>
    </row>
    <row r="239" spans="1:4" x14ac:dyDescent="0.25">
      <c r="A239" s="14">
        <v>12.86</v>
      </c>
      <c r="B239" s="15">
        <f>((1/A239)-(1/Konstanta!$B$5))/((1/Konstanta!$B$4)-(1/Konstanta!$B$5))</f>
        <v>0.57170567685012941</v>
      </c>
      <c r="C239" s="16">
        <f t="shared" si="6"/>
        <v>13.720936244403106</v>
      </c>
      <c r="D239" s="17" t="str">
        <f t="shared" si="7"/>
        <v>~14K</v>
      </c>
    </row>
    <row r="240" spans="1:4" x14ac:dyDescent="0.25">
      <c r="A240" s="14">
        <v>12.87</v>
      </c>
      <c r="B240" s="15">
        <f>((1/A240)-(1/Konstanta!$B$5))/((1/Konstanta!$B$4)-(1/Konstanta!$B$5))</f>
        <v>0.57269661110403247</v>
      </c>
      <c r="C240" s="16">
        <f t="shared" si="6"/>
        <v>13.74471866649678</v>
      </c>
      <c r="D240" s="17" t="str">
        <f t="shared" si="7"/>
        <v>~14K</v>
      </c>
    </row>
    <row r="241" spans="1:4" x14ac:dyDescent="0.25">
      <c r="A241" s="14">
        <v>12.88</v>
      </c>
      <c r="B241" s="15">
        <f>((1/A241)-(1/Konstanta!$B$5))/((1/Konstanta!$B$4)-(1/Konstanta!$B$5))</f>
        <v>0.57368600664015035</v>
      </c>
      <c r="C241" s="16">
        <f t="shared" si="6"/>
        <v>13.768464159363608</v>
      </c>
      <c r="D241" s="17" t="str">
        <f t="shared" si="7"/>
        <v>~14K</v>
      </c>
    </row>
    <row r="242" spans="1:4" x14ac:dyDescent="0.25">
      <c r="A242" s="14">
        <v>12.89</v>
      </c>
      <c r="B242" s="15">
        <f>((1/A242)-(1/Konstanta!$B$5))/((1/Konstanta!$B$4)-(1/Konstanta!$B$5))</f>
        <v>0.57467386703967205</v>
      </c>
      <c r="C242" s="16">
        <f t="shared" si="6"/>
        <v>13.792172808952129</v>
      </c>
      <c r="D242" s="17" t="str">
        <f t="shared" si="7"/>
        <v>~14K</v>
      </c>
    </row>
    <row r="243" spans="1:4" x14ac:dyDescent="0.25">
      <c r="A243" s="14">
        <v>12.9</v>
      </c>
      <c r="B243" s="15">
        <f>((1/A243)-(1/Konstanta!$B$5))/((1/Konstanta!$B$4)-(1/Konstanta!$B$5))</f>
        <v>0.57566019587268269</v>
      </c>
      <c r="C243" s="16">
        <f t="shared" si="6"/>
        <v>13.815844700944385</v>
      </c>
      <c r="D243" s="17" t="str">
        <f t="shared" si="7"/>
        <v>~14K</v>
      </c>
    </row>
    <row r="244" spans="1:4" x14ac:dyDescent="0.25">
      <c r="A244" s="14">
        <v>12.91</v>
      </c>
      <c r="B244" s="15">
        <f>((1/A244)-(1/Konstanta!$B$5))/((1/Konstanta!$B$4)-(1/Konstanta!$B$5))</f>
        <v>0.57664499669820624</v>
      </c>
      <c r="C244" s="16">
        <f t="shared" si="6"/>
        <v>13.839479920756951</v>
      </c>
      <c r="D244" s="17" t="str">
        <f t="shared" si="7"/>
        <v>~14K</v>
      </c>
    </row>
    <row r="245" spans="1:4" x14ac:dyDescent="0.25">
      <c r="A245" s="14">
        <v>12.92</v>
      </c>
      <c r="B245" s="15">
        <f>((1/A245)-(1/Konstanta!$B$5))/((1/Konstanta!$B$4)-(1/Konstanta!$B$5))</f>
        <v>0.57762827306424747</v>
      </c>
      <c r="C245" s="16">
        <f t="shared" si="6"/>
        <v>13.863078553541939</v>
      </c>
      <c r="D245" s="17" t="str">
        <f t="shared" si="7"/>
        <v>~14K</v>
      </c>
    </row>
    <row r="246" spans="1:4" x14ac:dyDescent="0.25">
      <c r="A246" s="14">
        <v>12.93</v>
      </c>
      <c r="B246" s="15">
        <f>((1/A246)-(1/Konstanta!$B$5))/((1/Konstanta!$B$4)-(1/Konstanta!$B$5))</f>
        <v>0.57861002850783561</v>
      </c>
      <c r="C246" s="16">
        <f t="shared" si="6"/>
        <v>13.886640684188055</v>
      </c>
      <c r="D246" s="17" t="str">
        <f t="shared" si="7"/>
        <v>~14K</v>
      </c>
    </row>
    <row r="247" spans="1:4" x14ac:dyDescent="0.25">
      <c r="A247" s="14">
        <v>12.94</v>
      </c>
      <c r="B247" s="15">
        <f>((1/A247)-(1/Konstanta!$B$5))/((1/Konstanta!$B$4)-(1/Konstanta!$B$5))</f>
        <v>0.57959026655506574</v>
      </c>
      <c r="C247" s="16">
        <f t="shared" si="6"/>
        <v>13.910166397321579</v>
      </c>
      <c r="D247" s="17" t="str">
        <f t="shared" si="7"/>
        <v>~14K</v>
      </c>
    </row>
    <row r="248" spans="1:4" x14ac:dyDescent="0.25">
      <c r="A248" s="14">
        <v>12.95</v>
      </c>
      <c r="B248" s="15">
        <f>((1/A248)-(1/Konstanta!$B$5))/((1/Konstanta!$B$4)-(1/Konstanta!$B$5))</f>
        <v>0.58056899072114176</v>
      </c>
      <c r="C248" s="16">
        <f t="shared" si="6"/>
        <v>13.933655777307402</v>
      </c>
      <c r="D248" s="17" t="str">
        <f t="shared" si="7"/>
        <v>~14K</v>
      </c>
    </row>
    <row r="249" spans="1:4" x14ac:dyDescent="0.25">
      <c r="A249" s="14">
        <v>12.96</v>
      </c>
      <c r="B249" s="15">
        <f>((1/A249)-(1/Konstanta!$B$5))/((1/Konstanta!$B$4)-(1/Konstanta!$B$5))</f>
        <v>0.58154620451041839</v>
      </c>
      <c r="C249" s="16">
        <f t="shared" si="6"/>
        <v>13.957108908250042</v>
      </c>
      <c r="D249" s="17" t="str">
        <f t="shared" si="7"/>
        <v>~14K</v>
      </c>
    </row>
    <row r="250" spans="1:4" x14ac:dyDescent="0.25">
      <c r="A250" s="14">
        <v>12.97</v>
      </c>
      <c r="B250" s="15">
        <f>((1/A250)-(1/Konstanta!$B$5))/((1/Konstanta!$B$4)-(1/Konstanta!$B$5))</f>
        <v>0.58252191141644249</v>
      </c>
      <c r="C250" s="16">
        <f t="shared" si="6"/>
        <v>13.980525873994619</v>
      </c>
      <c r="D250" s="17" t="str">
        <f t="shared" si="7"/>
        <v>~14K</v>
      </c>
    </row>
    <row r="251" spans="1:4" x14ac:dyDescent="0.25">
      <c r="A251" s="14">
        <v>12.98</v>
      </c>
      <c r="B251" s="15">
        <f>((1/A251)-(1/Konstanta!$B$5))/((1/Konstanta!$B$4)-(1/Konstanta!$B$5))</f>
        <v>0.58349611492199494</v>
      </c>
      <c r="C251" s="16">
        <f t="shared" si="6"/>
        <v>14.003906758127879</v>
      </c>
      <c r="D251" s="17" t="str">
        <f t="shared" si="7"/>
        <v>~14K</v>
      </c>
    </row>
    <row r="252" spans="1:4" x14ac:dyDescent="0.25">
      <c r="A252" s="14">
        <v>12.99</v>
      </c>
      <c r="B252" s="15">
        <f>((1/A252)-(1/Konstanta!$B$5))/((1/Konstanta!$B$4)-(1/Konstanta!$B$5))</f>
        <v>0.58446881849913235</v>
      </c>
      <c r="C252" s="16">
        <f t="shared" si="6"/>
        <v>14.027251643979177</v>
      </c>
      <c r="D252" s="17" t="str">
        <f t="shared" si="7"/>
        <v>~14K</v>
      </c>
    </row>
    <row r="253" spans="1:4" x14ac:dyDescent="0.25">
      <c r="A253" s="14">
        <v>13</v>
      </c>
      <c r="B253" s="15">
        <f>((1/A253)-(1/Konstanta!$B$5))/((1/Konstanta!$B$4)-(1/Konstanta!$B$5))</f>
        <v>0.58544002560922803</v>
      </c>
      <c r="C253" s="16">
        <f t="shared" si="6"/>
        <v>14.050560614621473</v>
      </c>
      <c r="D253" s="17" t="str">
        <f t="shared" si="7"/>
        <v>~14K</v>
      </c>
    </row>
    <row r="254" spans="1:4" x14ac:dyDescent="0.25">
      <c r="A254" s="14">
        <v>13.01</v>
      </c>
      <c r="B254" s="15">
        <f>((1/A254)-(1/Konstanta!$B$5))/((1/Konstanta!$B$4)-(1/Konstanta!$B$5))</f>
        <v>0.58640973970301324</v>
      </c>
      <c r="C254" s="16">
        <f t="shared" si="6"/>
        <v>14.073833752872318</v>
      </c>
      <c r="D254" s="17" t="str">
        <f t="shared" si="7"/>
        <v>~14K</v>
      </c>
    </row>
    <row r="255" spans="1:4" x14ac:dyDescent="0.25">
      <c r="A255" s="14">
        <v>13.02</v>
      </c>
      <c r="B255" s="15">
        <f>((1/A255)-(1/Konstanta!$B$5))/((1/Konstanta!$B$4)-(1/Konstanta!$B$5))</f>
        <v>0.58737796422061717</v>
      </c>
      <c r="C255" s="16">
        <f t="shared" si="6"/>
        <v>14.097071141294812</v>
      </c>
      <c r="D255" s="17" t="str">
        <f t="shared" si="7"/>
        <v>~14K</v>
      </c>
    </row>
    <row r="256" spans="1:4" x14ac:dyDescent="0.25">
      <c r="A256" s="14">
        <v>13.03</v>
      </c>
      <c r="B256" s="15">
        <f>((1/A256)-(1/Konstanta!$B$5))/((1/Konstanta!$B$4)-(1/Konstanta!$B$5))</f>
        <v>0.58834470259160943</v>
      </c>
      <c r="C256" s="16">
        <f t="shared" si="6"/>
        <v>14.120272862198625</v>
      </c>
      <c r="D256" s="17" t="str">
        <f t="shared" si="7"/>
        <v>~14K</v>
      </c>
    </row>
    <row r="257" spans="1:4" x14ac:dyDescent="0.25">
      <c r="A257" s="14">
        <v>13.04</v>
      </c>
      <c r="B257" s="15">
        <f>((1/A257)-(1/Konstanta!$B$5))/((1/Konstanta!$B$4)-(1/Konstanta!$B$5))</f>
        <v>0.58930995823503896</v>
      </c>
      <c r="C257" s="16">
        <f t="shared" si="6"/>
        <v>14.143438997640935</v>
      </c>
      <c r="D257" s="17" t="str">
        <f t="shared" si="7"/>
        <v>~14K</v>
      </c>
    </row>
    <row r="258" spans="1:4" x14ac:dyDescent="0.25">
      <c r="A258" s="14">
        <v>13.05</v>
      </c>
      <c r="B258" s="15">
        <f>((1/A258)-(1/Konstanta!$B$5))/((1/Konstanta!$B$4)-(1/Konstanta!$B$5))</f>
        <v>0.59027373455947474</v>
      </c>
      <c r="C258" s="16">
        <f t="shared" si="6"/>
        <v>14.166569629427393</v>
      </c>
      <c r="D258" s="17" t="str">
        <f t="shared" si="7"/>
        <v>~14K</v>
      </c>
    </row>
    <row r="259" spans="1:4" x14ac:dyDescent="0.25">
      <c r="A259" s="14">
        <v>13.06</v>
      </c>
      <c r="B259" s="15">
        <f>((1/A259)-(1/Konstanta!$B$5))/((1/Konstanta!$B$4)-(1/Konstanta!$B$5))</f>
        <v>0.591236034963046</v>
      </c>
      <c r="C259" s="16">
        <f t="shared" si="6"/>
        <v>14.189664839113103</v>
      </c>
      <c r="D259" s="17" t="str">
        <f t="shared" si="7"/>
        <v>~14K</v>
      </c>
    </row>
    <row r="260" spans="1:4" x14ac:dyDescent="0.25">
      <c r="A260" s="14">
        <v>13.07</v>
      </c>
      <c r="B260" s="15">
        <f>((1/A260)-(1/Konstanta!$B$5))/((1/Konstanta!$B$4)-(1/Konstanta!$B$5))</f>
        <v>0.59219686283348261</v>
      </c>
      <c r="C260" s="16">
        <f t="shared" ref="C260:C323" si="8">B260*24</f>
        <v>14.212724708003583</v>
      </c>
      <c r="D260" s="17" t="str">
        <f t="shared" ref="D260:D323" si="9">IF(ROUND(C260,0)=24,"24K (murni)",IF(ROUND(C260,0)&gt;=22,"~22K",IF(ROUND(C260,0)&gt;=18,"~18K",IF(ROUND(C260,0)&gt;=14,"~14K","&lt;14K"))))</f>
        <v>~14K</v>
      </c>
    </row>
    <row r="261" spans="1:4" x14ac:dyDescent="0.25">
      <c r="A261" s="14">
        <v>13.08</v>
      </c>
      <c r="B261" s="15">
        <f>((1/A261)-(1/Konstanta!$B$5))/((1/Konstanta!$B$4)-(1/Konstanta!$B$5))</f>
        <v>0.59315622154815384</v>
      </c>
      <c r="C261" s="16">
        <f t="shared" si="8"/>
        <v>14.235749317155692</v>
      </c>
      <c r="D261" s="17" t="str">
        <f t="shared" si="9"/>
        <v>~14K</v>
      </c>
    </row>
    <row r="262" spans="1:4" x14ac:dyDescent="0.25">
      <c r="A262" s="14">
        <v>13.09</v>
      </c>
      <c r="B262" s="15">
        <f>((1/A262)-(1/Konstanta!$B$5))/((1/Konstanta!$B$4)-(1/Konstanta!$B$5))</f>
        <v>0.59411411447410911</v>
      </c>
      <c r="C262" s="16">
        <f t="shared" si="8"/>
        <v>14.258738747378619</v>
      </c>
      <c r="D262" s="17" t="str">
        <f t="shared" si="9"/>
        <v>~14K</v>
      </c>
    </row>
    <row r="263" spans="1:4" x14ac:dyDescent="0.25">
      <c r="A263" s="14">
        <v>13.1</v>
      </c>
      <c r="B263" s="15">
        <f>((1/A263)-(1/Konstanta!$B$5))/((1/Konstanta!$B$4)-(1/Konstanta!$B$5))</f>
        <v>0.59507054496811618</v>
      </c>
      <c r="C263" s="16">
        <f t="shared" si="8"/>
        <v>14.281693079234788</v>
      </c>
      <c r="D263" s="17" t="str">
        <f t="shared" si="9"/>
        <v>~14K</v>
      </c>
    </row>
    <row r="264" spans="1:4" x14ac:dyDescent="0.25">
      <c r="A264" s="14">
        <v>13.11</v>
      </c>
      <c r="B264" s="15">
        <f>((1/A264)-(1/Konstanta!$B$5))/((1/Konstanta!$B$4)-(1/Konstanta!$B$5))</f>
        <v>0.59602551637670165</v>
      </c>
      <c r="C264" s="16">
        <f t="shared" si="8"/>
        <v>14.30461239304084</v>
      </c>
      <c r="D264" s="17" t="str">
        <f t="shared" si="9"/>
        <v>~14K</v>
      </c>
    </row>
    <row r="265" spans="1:4" x14ac:dyDescent="0.25">
      <c r="A265" s="14">
        <v>13.12</v>
      </c>
      <c r="B265" s="15">
        <f>((1/A265)-(1/Konstanta!$B$5))/((1/Konstanta!$B$4)-(1/Konstanta!$B$5))</f>
        <v>0.59697903203618863</v>
      </c>
      <c r="C265" s="16">
        <f t="shared" si="8"/>
        <v>14.327496768868528</v>
      </c>
      <c r="D265" s="17" t="str">
        <f t="shared" si="9"/>
        <v>~14K</v>
      </c>
    </row>
    <row r="266" spans="1:4" x14ac:dyDescent="0.25">
      <c r="A266" s="14">
        <v>13.13</v>
      </c>
      <c r="B266" s="15">
        <f>((1/A266)-(1/Konstanta!$B$5))/((1/Konstanta!$B$4)-(1/Konstanta!$B$5))</f>
        <v>0.59793109527273658</v>
      </c>
      <c r="C266" s="16">
        <f t="shared" si="8"/>
        <v>14.350346286545678</v>
      </c>
      <c r="D266" s="17" t="str">
        <f t="shared" si="9"/>
        <v>~14K</v>
      </c>
    </row>
    <row r="267" spans="1:4" x14ac:dyDescent="0.25">
      <c r="A267" s="14">
        <v>13.14</v>
      </c>
      <c r="B267" s="15">
        <f>((1/A267)-(1/Konstanta!$B$5))/((1/Konstanta!$B$4)-(1/Konstanta!$B$5))</f>
        <v>0.5988817094023795</v>
      </c>
      <c r="C267" s="16">
        <f t="shared" si="8"/>
        <v>14.373161025657108</v>
      </c>
      <c r="D267" s="17" t="str">
        <f t="shared" si="9"/>
        <v>~14K</v>
      </c>
    </row>
    <row r="268" spans="1:4" x14ac:dyDescent="0.25">
      <c r="A268" s="14">
        <v>13.15</v>
      </c>
      <c r="B268" s="15">
        <f>((1/A268)-(1/Konstanta!$B$5))/((1/Konstanta!$B$4)-(1/Konstanta!$B$5))</f>
        <v>0.5998308777310648</v>
      </c>
      <c r="C268" s="16">
        <f t="shared" si="8"/>
        <v>14.395941065545555</v>
      </c>
      <c r="D268" s="17" t="str">
        <f t="shared" si="9"/>
        <v>~14K</v>
      </c>
    </row>
    <row r="269" spans="1:4" x14ac:dyDescent="0.25">
      <c r="A269" s="14">
        <v>13.16</v>
      </c>
      <c r="B269" s="15">
        <f>((1/A269)-(1/Konstanta!$B$5))/((1/Konstanta!$B$4)-(1/Konstanta!$B$5))</f>
        <v>0.60077860355469137</v>
      </c>
      <c r="C269" s="16">
        <f t="shared" si="8"/>
        <v>14.418686485312593</v>
      </c>
      <c r="D269" s="17" t="str">
        <f t="shared" si="9"/>
        <v>~14K</v>
      </c>
    </row>
    <row r="270" spans="1:4" x14ac:dyDescent="0.25">
      <c r="A270" s="14">
        <v>13.17</v>
      </c>
      <c r="B270" s="15">
        <f>((1/A270)-(1/Konstanta!$B$5))/((1/Konstanta!$B$4)-(1/Konstanta!$B$5))</f>
        <v>0.60172489015914754</v>
      </c>
      <c r="C270" s="16">
        <f t="shared" si="8"/>
        <v>14.44139736381954</v>
      </c>
      <c r="D270" s="17" t="str">
        <f t="shared" si="9"/>
        <v>~14K</v>
      </c>
    </row>
    <row r="271" spans="1:4" x14ac:dyDescent="0.25">
      <c r="A271" s="14">
        <v>13.18</v>
      </c>
      <c r="B271" s="15">
        <f>((1/A271)-(1/Konstanta!$B$5))/((1/Konstanta!$B$4)-(1/Konstanta!$B$5))</f>
        <v>0.60266974082034974</v>
      </c>
      <c r="C271" s="16">
        <f t="shared" si="8"/>
        <v>14.464073779688395</v>
      </c>
      <c r="D271" s="17" t="str">
        <f t="shared" si="9"/>
        <v>~14K</v>
      </c>
    </row>
    <row r="272" spans="1:4" x14ac:dyDescent="0.25">
      <c r="A272" s="14">
        <v>13.19</v>
      </c>
      <c r="B272" s="15">
        <f>((1/A272)-(1/Konstanta!$B$5))/((1/Konstanta!$B$4)-(1/Konstanta!$B$5))</f>
        <v>0.60361315880427946</v>
      </c>
      <c r="C272" s="16">
        <f t="shared" si="8"/>
        <v>14.486715811302707</v>
      </c>
      <c r="D272" s="17" t="str">
        <f t="shared" si="9"/>
        <v>~14K</v>
      </c>
    </row>
    <row r="273" spans="1:4" x14ac:dyDescent="0.25">
      <c r="A273" s="14">
        <v>13.2</v>
      </c>
      <c r="B273" s="15">
        <f>((1/A273)-(1/Konstanta!$B$5))/((1/Konstanta!$B$4)-(1/Konstanta!$B$5))</f>
        <v>0.60455514736702132</v>
      </c>
      <c r="C273" s="16">
        <f t="shared" si="8"/>
        <v>14.509323536808513</v>
      </c>
      <c r="D273" s="17" t="str">
        <f t="shared" si="9"/>
        <v>~14K</v>
      </c>
    </row>
    <row r="274" spans="1:4" x14ac:dyDescent="0.25">
      <c r="A274" s="14">
        <v>13.21</v>
      </c>
      <c r="B274" s="15">
        <f>((1/A274)-(1/Konstanta!$B$5))/((1/Konstanta!$B$4)-(1/Konstanta!$B$5))</f>
        <v>0.60549570975480083</v>
      </c>
      <c r="C274" s="16">
        <f t="shared" si="8"/>
        <v>14.53189703411522</v>
      </c>
      <c r="D274" s="17" t="str">
        <f t="shared" si="9"/>
        <v>~14K</v>
      </c>
    </row>
    <row r="275" spans="1:4" x14ac:dyDescent="0.25">
      <c r="A275" s="14">
        <v>13.22</v>
      </c>
      <c r="B275" s="15">
        <f>((1/A275)-(1/Konstanta!$B$5))/((1/Konstanta!$B$4)-(1/Konstanta!$B$5))</f>
        <v>0.6064348492040208</v>
      </c>
      <c r="C275" s="16">
        <f t="shared" si="8"/>
        <v>14.554436380896499</v>
      </c>
      <c r="D275" s="17" t="str">
        <f t="shared" si="9"/>
        <v>~14K</v>
      </c>
    </row>
    <row r="276" spans="1:4" x14ac:dyDescent="0.25">
      <c r="A276" s="14">
        <v>13.23</v>
      </c>
      <c r="B276" s="15">
        <f>((1/A276)-(1/Konstanta!$B$5))/((1/Konstanta!$B$4)-(1/Konstanta!$B$5))</f>
        <v>0.60737256894129921</v>
      </c>
      <c r="C276" s="16">
        <f t="shared" si="8"/>
        <v>14.576941654591181</v>
      </c>
      <c r="D276" s="17" t="str">
        <f t="shared" si="9"/>
        <v>~14K</v>
      </c>
    </row>
    <row r="277" spans="1:4" x14ac:dyDescent="0.25">
      <c r="A277" s="14">
        <v>13.24</v>
      </c>
      <c r="B277" s="15">
        <f>((1/A277)-(1/Konstanta!$B$5))/((1/Konstanta!$B$4)-(1/Konstanta!$B$5))</f>
        <v>0.60830887218350649</v>
      </c>
      <c r="C277" s="16">
        <f t="shared" si="8"/>
        <v>14.599412932404157</v>
      </c>
      <c r="D277" s="17" t="str">
        <f t="shared" si="9"/>
        <v>~14K</v>
      </c>
    </row>
    <row r="278" spans="1:4" x14ac:dyDescent="0.25">
      <c r="A278" s="14">
        <v>13.25</v>
      </c>
      <c r="B278" s="15">
        <f>((1/A278)-(1/Konstanta!$B$5))/((1/Konstanta!$B$4)-(1/Konstanta!$B$5))</f>
        <v>0.60924376213780085</v>
      </c>
      <c r="C278" s="16">
        <f t="shared" si="8"/>
        <v>14.62185029130722</v>
      </c>
      <c r="D278" s="17" t="str">
        <f t="shared" si="9"/>
        <v>~14K</v>
      </c>
    </row>
    <row r="279" spans="1:4" x14ac:dyDescent="0.25">
      <c r="A279" s="14">
        <v>13.26</v>
      </c>
      <c r="B279" s="15">
        <f>((1/A279)-(1/Konstanta!$B$5))/((1/Konstanta!$B$4)-(1/Konstanta!$B$5))</f>
        <v>0.61017724200166645</v>
      </c>
      <c r="C279" s="16">
        <f t="shared" si="8"/>
        <v>14.644253808039995</v>
      </c>
      <c r="D279" s="17" t="str">
        <f t="shared" si="9"/>
        <v>~14K</v>
      </c>
    </row>
    <row r="280" spans="1:4" x14ac:dyDescent="0.25">
      <c r="A280" s="14">
        <v>13.27</v>
      </c>
      <c r="B280" s="15">
        <f>((1/A280)-(1/Konstanta!$B$5))/((1/Konstanta!$B$4)-(1/Konstanta!$B$5))</f>
        <v>0.61110931496294885</v>
      </c>
      <c r="C280" s="16">
        <f t="shared" si="8"/>
        <v>14.666623559110771</v>
      </c>
      <c r="D280" s="17" t="str">
        <f t="shared" si="9"/>
        <v>~14K</v>
      </c>
    </row>
    <row r="281" spans="1:4" x14ac:dyDescent="0.25">
      <c r="A281" s="14">
        <v>13.28</v>
      </c>
      <c r="B281" s="15">
        <f>((1/A281)-(1/Konstanta!$B$5))/((1/Konstanta!$B$4)-(1/Konstanta!$B$5))</f>
        <v>0.61203998419989203</v>
      </c>
      <c r="C281" s="16">
        <f t="shared" si="8"/>
        <v>14.688959620797409</v>
      </c>
      <c r="D281" s="17" t="str">
        <f t="shared" si="9"/>
        <v>~14K</v>
      </c>
    </row>
    <row r="282" spans="1:4" x14ac:dyDescent="0.25">
      <c r="A282" s="14">
        <v>13.29</v>
      </c>
      <c r="B282" s="15">
        <f>((1/A282)-(1/Konstanta!$B$5))/((1/Konstanta!$B$4)-(1/Konstanta!$B$5))</f>
        <v>0.61296925288117399</v>
      </c>
      <c r="C282" s="16">
        <f t="shared" si="8"/>
        <v>14.711262069148177</v>
      </c>
      <c r="D282" s="17" t="str">
        <f t="shared" si="9"/>
        <v>~14K</v>
      </c>
    </row>
    <row r="283" spans="1:4" x14ac:dyDescent="0.25">
      <c r="A283" s="14">
        <v>13.3</v>
      </c>
      <c r="B283" s="15">
        <f>((1/A283)-(1/Konstanta!$B$5))/((1/Konstanta!$B$4)-(1/Konstanta!$B$5))</f>
        <v>0.61389712416594289</v>
      </c>
      <c r="C283" s="16">
        <f t="shared" si="8"/>
        <v>14.733530979982628</v>
      </c>
      <c r="D283" s="17" t="str">
        <f t="shared" si="9"/>
        <v>~14K</v>
      </c>
    </row>
    <row r="284" spans="1:4" x14ac:dyDescent="0.25">
      <c r="A284" s="14">
        <v>13.31</v>
      </c>
      <c r="B284" s="15">
        <f>((1/A284)-(1/Konstanta!$B$5))/((1/Konstanta!$B$4)-(1/Konstanta!$B$5))</f>
        <v>0.61482360120385249</v>
      </c>
      <c r="C284" s="16">
        <f t="shared" si="8"/>
        <v>14.755766428892461</v>
      </c>
      <c r="D284" s="17" t="str">
        <f t="shared" si="9"/>
        <v>~14K</v>
      </c>
    </row>
    <row r="285" spans="1:4" x14ac:dyDescent="0.25">
      <c r="A285" s="14">
        <v>13.32</v>
      </c>
      <c r="B285" s="15">
        <f>((1/A285)-(1/Konstanta!$B$5))/((1/Konstanta!$B$4)-(1/Konstanta!$B$5))</f>
        <v>0.61574868713509845</v>
      </c>
      <c r="C285" s="16">
        <f t="shared" si="8"/>
        <v>14.777968491242362</v>
      </c>
      <c r="D285" s="17" t="str">
        <f t="shared" si="9"/>
        <v>~14K</v>
      </c>
    </row>
    <row r="286" spans="1:4" x14ac:dyDescent="0.25">
      <c r="A286" s="14">
        <v>13.33</v>
      </c>
      <c r="B286" s="15">
        <f>((1/A286)-(1/Konstanta!$B$5))/((1/Konstanta!$B$4)-(1/Konstanta!$B$5))</f>
        <v>0.61667238509045363</v>
      </c>
      <c r="C286" s="16">
        <f t="shared" si="8"/>
        <v>14.800137242170887</v>
      </c>
      <c r="D286" s="17" t="str">
        <f t="shared" si="9"/>
        <v>~14K</v>
      </c>
    </row>
    <row r="287" spans="1:4" x14ac:dyDescent="0.25">
      <c r="A287" s="14">
        <v>13.34</v>
      </c>
      <c r="B287" s="15">
        <f>((1/A287)-(1/Konstanta!$B$5))/((1/Konstanta!$B$4)-(1/Konstanta!$B$5))</f>
        <v>0.61759469819130297</v>
      </c>
      <c r="C287" s="16">
        <f t="shared" si="8"/>
        <v>14.822272756591271</v>
      </c>
      <c r="D287" s="17" t="str">
        <f t="shared" si="9"/>
        <v>~14K</v>
      </c>
    </row>
    <row r="288" spans="1:4" x14ac:dyDescent="0.25">
      <c r="A288" s="14">
        <v>13.35</v>
      </c>
      <c r="B288" s="15">
        <f>((1/A288)-(1/Konstanta!$B$5))/((1/Konstanta!$B$4)-(1/Konstanta!$B$5))</f>
        <v>0.6185156295496792</v>
      </c>
      <c r="C288" s="16">
        <f t="shared" si="8"/>
        <v>14.844375109192301</v>
      </c>
      <c r="D288" s="17" t="str">
        <f t="shared" si="9"/>
        <v>~14K</v>
      </c>
    </row>
    <row r="289" spans="1:4" x14ac:dyDescent="0.25">
      <c r="A289" s="14">
        <v>13.36</v>
      </c>
      <c r="B289" s="15">
        <f>((1/A289)-(1/Konstanta!$B$5))/((1/Konstanta!$B$4)-(1/Konstanta!$B$5))</f>
        <v>0.6194351822682973</v>
      </c>
      <c r="C289" s="16">
        <f t="shared" si="8"/>
        <v>14.866444374439135</v>
      </c>
      <c r="D289" s="17" t="str">
        <f t="shared" si="9"/>
        <v>~14K</v>
      </c>
    </row>
    <row r="290" spans="1:4" x14ac:dyDescent="0.25">
      <c r="A290" s="14">
        <v>13.37</v>
      </c>
      <c r="B290" s="15">
        <f>((1/A290)-(1/Konstanta!$B$5))/((1/Konstanta!$B$4)-(1/Konstanta!$B$5))</f>
        <v>0.62035335944059011</v>
      </c>
      <c r="C290" s="16">
        <f t="shared" si="8"/>
        <v>14.888480626574163</v>
      </c>
      <c r="D290" s="17" t="str">
        <f t="shared" si="9"/>
        <v>~14K</v>
      </c>
    </row>
    <row r="291" spans="1:4" x14ac:dyDescent="0.25">
      <c r="A291" s="14">
        <v>13.38</v>
      </c>
      <c r="B291" s="15">
        <f>((1/A291)-(1/Konstanta!$B$5))/((1/Konstanta!$B$4)-(1/Konstanta!$B$5))</f>
        <v>0.62127016415074199</v>
      </c>
      <c r="C291" s="16">
        <f t="shared" si="8"/>
        <v>14.910483939617809</v>
      </c>
      <c r="D291" s="17" t="str">
        <f t="shared" si="9"/>
        <v>~14K</v>
      </c>
    </row>
    <row r="292" spans="1:4" x14ac:dyDescent="0.25">
      <c r="A292" s="14">
        <v>13.39</v>
      </c>
      <c r="B292" s="15">
        <f>((1/A292)-(1/Konstanta!$B$5))/((1/Konstanta!$B$4)-(1/Konstanta!$B$5))</f>
        <v>0.62218559947372387</v>
      </c>
      <c r="C292" s="16">
        <f t="shared" si="8"/>
        <v>14.932454387369372</v>
      </c>
      <c r="D292" s="17" t="str">
        <f t="shared" si="9"/>
        <v>~14K</v>
      </c>
    </row>
    <row r="293" spans="1:4" x14ac:dyDescent="0.25">
      <c r="A293" s="14">
        <v>13.4</v>
      </c>
      <c r="B293" s="15">
        <f>((1/A293)-(1/Konstanta!$B$5))/((1/Konstanta!$B$4)-(1/Konstanta!$B$5))</f>
        <v>0.62309966847532827</v>
      </c>
      <c r="C293" s="16">
        <f t="shared" si="8"/>
        <v>14.954392043407879</v>
      </c>
      <c r="D293" s="17" t="str">
        <f t="shared" si="9"/>
        <v>~14K</v>
      </c>
    </row>
    <row r="294" spans="1:4" x14ac:dyDescent="0.25">
      <c r="A294" s="14">
        <v>13.41</v>
      </c>
      <c r="B294" s="15">
        <f>((1/A294)-(1/Konstanta!$B$5))/((1/Konstanta!$B$4)-(1/Konstanta!$B$5))</f>
        <v>0.62401237421220246</v>
      </c>
      <c r="C294" s="16">
        <f t="shared" si="8"/>
        <v>14.976296981092858</v>
      </c>
      <c r="D294" s="17" t="str">
        <f t="shared" si="9"/>
        <v>~14K</v>
      </c>
    </row>
    <row r="295" spans="1:4" x14ac:dyDescent="0.25">
      <c r="A295" s="14">
        <v>13.42</v>
      </c>
      <c r="B295" s="15">
        <f>((1/A295)-(1/Konstanta!$B$5))/((1/Konstanta!$B$4)-(1/Konstanta!$B$5))</f>
        <v>0.62492371973188299</v>
      </c>
      <c r="C295" s="16">
        <f t="shared" si="8"/>
        <v>14.998169273565193</v>
      </c>
      <c r="D295" s="17" t="str">
        <f t="shared" si="9"/>
        <v>~14K</v>
      </c>
    </row>
    <row r="296" spans="1:4" x14ac:dyDescent="0.25">
      <c r="A296" s="14">
        <v>13.43</v>
      </c>
      <c r="B296" s="15">
        <f>((1/A296)-(1/Konstanta!$B$5))/((1/Konstanta!$B$4)-(1/Konstanta!$B$5))</f>
        <v>0.6258337080728299</v>
      </c>
      <c r="C296" s="16">
        <f t="shared" si="8"/>
        <v>15.020008993747918</v>
      </c>
      <c r="D296" s="17" t="str">
        <f t="shared" si="9"/>
        <v>~14K</v>
      </c>
    </row>
    <row r="297" spans="1:4" x14ac:dyDescent="0.25">
      <c r="A297" s="14">
        <v>13.44</v>
      </c>
      <c r="B297" s="15">
        <f>((1/A297)-(1/Konstanta!$B$5))/((1/Konstanta!$B$4)-(1/Konstanta!$B$5))</f>
        <v>0.62674234226445991</v>
      </c>
      <c r="C297" s="16">
        <f t="shared" si="8"/>
        <v>15.041816214347037</v>
      </c>
      <c r="D297" s="17" t="str">
        <f t="shared" si="9"/>
        <v>~14K</v>
      </c>
    </row>
    <row r="298" spans="1:4" x14ac:dyDescent="0.25">
      <c r="A298" s="14">
        <v>13.45</v>
      </c>
      <c r="B298" s="15">
        <f>((1/A298)-(1/Konstanta!$B$5))/((1/Konstanta!$B$4)-(1/Konstanta!$B$5))</f>
        <v>0.62764962532718038</v>
      </c>
      <c r="C298" s="16">
        <f t="shared" si="8"/>
        <v>15.063591007852329</v>
      </c>
      <c r="D298" s="17" t="str">
        <f t="shared" si="9"/>
        <v>~14K</v>
      </c>
    </row>
    <row r="299" spans="1:4" x14ac:dyDescent="0.25">
      <c r="A299" s="14">
        <v>13.46</v>
      </c>
      <c r="B299" s="15">
        <f>((1/A299)-(1/Konstanta!$B$5))/((1/Konstanta!$B$4)-(1/Konstanta!$B$5))</f>
        <v>0.62855556027242288</v>
      </c>
      <c r="C299" s="16">
        <f t="shared" si="8"/>
        <v>15.085333446538149</v>
      </c>
      <c r="D299" s="17" t="str">
        <f t="shared" si="9"/>
        <v>~14K</v>
      </c>
    </row>
    <row r="300" spans="1:4" x14ac:dyDescent="0.25">
      <c r="A300" s="14">
        <v>13.47</v>
      </c>
      <c r="B300" s="15">
        <f>((1/A300)-(1/Konstanta!$B$5))/((1/Konstanta!$B$4)-(1/Konstanta!$B$5))</f>
        <v>0.62946015010267631</v>
      </c>
      <c r="C300" s="16">
        <f t="shared" si="8"/>
        <v>15.107043602464231</v>
      </c>
      <c r="D300" s="17" t="str">
        <f t="shared" si="9"/>
        <v>~14K</v>
      </c>
    </row>
    <row r="301" spans="1:4" x14ac:dyDescent="0.25">
      <c r="A301" s="14">
        <v>13.48</v>
      </c>
      <c r="B301" s="15">
        <f>((1/A301)-(1/Konstanta!$B$5))/((1/Konstanta!$B$4)-(1/Konstanta!$B$5))</f>
        <v>0.63036339781151962</v>
      </c>
      <c r="C301" s="16">
        <f t="shared" si="8"/>
        <v>15.12872154747647</v>
      </c>
      <c r="D301" s="17" t="str">
        <f t="shared" si="9"/>
        <v>~14K</v>
      </c>
    </row>
    <row r="302" spans="1:4" x14ac:dyDescent="0.25">
      <c r="A302" s="14">
        <v>13.49</v>
      </c>
      <c r="B302" s="15">
        <f>((1/A302)-(1/Konstanta!$B$5))/((1/Konstanta!$B$4)-(1/Konstanta!$B$5))</f>
        <v>0.63126530638365597</v>
      </c>
      <c r="C302" s="16">
        <f t="shared" si="8"/>
        <v>15.150367353207743</v>
      </c>
      <c r="D302" s="17" t="str">
        <f t="shared" si="9"/>
        <v>~14K</v>
      </c>
    </row>
    <row r="303" spans="1:4" x14ac:dyDescent="0.25">
      <c r="A303" s="14">
        <v>13.5</v>
      </c>
      <c r="B303" s="15">
        <f>((1/A303)-(1/Konstanta!$B$5))/((1/Konstanta!$B$4)-(1/Konstanta!$B$5))</f>
        <v>0.6321658787949449</v>
      </c>
      <c r="C303" s="16">
        <f t="shared" si="8"/>
        <v>15.171981091078678</v>
      </c>
      <c r="D303" s="17" t="str">
        <f t="shared" si="9"/>
        <v>~14K</v>
      </c>
    </row>
    <row r="304" spans="1:4" x14ac:dyDescent="0.25">
      <c r="A304" s="14">
        <v>13.51</v>
      </c>
      <c r="B304" s="15">
        <f>((1/A304)-(1/Konstanta!$B$5))/((1/Konstanta!$B$4)-(1/Konstanta!$B$5))</f>
        <v>0.63306511801243448</v>
      </c>
      <c r="C304" s="16">
        <f t="shared" si="8"/>
        <v>15.193562832298428</v>
      </c>
      <c r="D304" s="17" t="str">
        <f t="shared" si="9"/>
        <v>~14K</v>
      </c>
    </row>
    <row r="305" spans="1:4" x14ac:dyDescent="0.25">
      <c r="A305" s="14">
        <v>13.52</v>
      </c>
      <c r="B305" s="15">
        <f>((1/A305)-(1/Konstanta!$B$5))/((1/Konstanta!$B$4)-(1/Konstanta!$B$5))</f>
        <v>0.63396302699439544</v>
      </c>
      <c r="C305" s="16">
        <f t="shared" si="8"/>
        <v>15.215112647865491</v>
      </c>
      <c r="D305" s="17" t="str">
        <f t="shared" si="9"/>
        <v>~14K</v>
      </c>
    </row>
    <row r="306" spans="1:4" x14ac:dyDescent="0.25">
      <c r="A306" s="14">
        <v>13.53</v>
      </c>
      <c r="B306" s="15">
        <f>((1/A306)-(1/Konstanta!$B$5))/((1/Konstanta!$B$4)-(1/Konstanta!$B$5))</f>
        <v>0.63485960869035196</v>
      </c>
      <c r="C306" s="16">
        <f t="shared" si="8"/>
        <v>15.236630608568447</v>
      </c>
      <c r="D306" s="17" t="str">
        <f t="shared" si="9"/>
        <v>~14K</v>
      </c>
    </row>
    <row r="307" spans="1:4" x14ac:dyDescent="0.25">
      <c r="A307" s="14">
        <v>13.54</v>
      </c>
      <c r="B307" s="15">
        <f>((1/A307)-(1/Konstanta!$B$5))/((1/Konstanta!$B$4)-(1/Konstanta!$B$5))</f>
        <v>0.63575486604111509</v>
      </c>
      <c r="C307" s="16">
        <f t="shared" si="8"/>
        <v>15.258116784986761</v>
      </c>
      <c r="D307" s="17" t="str">
        <f t="shared" si="9"/>
        <v>~14K</v>
      </c>
    </row>
    <row r="308" spans="1:4" x14ac:dyDescent="0.25">
      <c r="A308" s="14">
        <v>13.55</v>
      </c>
      <c r="B308" s="15">
        <f>((1/A308)-(1/Konstanta!$B$5))/((1/Konstanta!$B$4)-(1/Konstanta!$B$5))</f>
        <v>0.63664880197881435</v>
      </c>
      <c r="C308" s="16">
        <f t="shared" si="8"/>
        <v>15.279571247491544</v>
      </c>
      <c r="D308" s="17" t="str">
        <f t="shared" si="9"/>
        <v>~14K</v>
      </c>
    </row>
    <row r="309" spans="1:4" x14ac:dyDescent="0.25">
      <c r="A309" s="14">
        <v>13.56</v>
      </c>
      <c r="B309" s="15">
        <f>((1/A309)-(1/Konstanta!$B$5))/((1/Konstanta!$B$4)-(1/Konstanta!$B$5))</f>
        <v>0.63754141942692999</v>
      </c>
      <c r="C309" s="16">
        <f t="shared" si="8"/>
        <v>15.30099406624632</v>
      </c>
      <c r="D309" s="17" t="str">
        <f t="shared" si="9"/>
        <v>~14K</v>
      </c>
    </row>
    <row r="310" spans="1:4" x14ac:dyDescent="0.25">
      <c r="A310" s="14">
        <v>13.57</v>
      </c>
      <c r="B310" s="15">
        <f>((1/A310)-(1/Konstanta!$B$5))/((1/Konstanta!$B$4)-(1/Konstanta!$B$5))</f>
        <v>0.63843272130032469</v>
      </c>
      <c r="C310" s="16">
        <f t="shared" si="8"/>
        <v>15.322385311207793</v>
      </c>
      <c r="D310" s="17" t="str">
        <f t="shared" si="9"/>
        <v>~14K</v>
      </c>
    </row>
    <row r="311" spans="1:4" x14ac:dyDescent="0.25">
      <c r="A311" s="14">
        <v>13.58</v>
      </c>
      <c r="B311" s="15">
        <f>((1/A311)-(1/Konstanta!$B$5))/((1/Konstanta!$B$4)-(1/Konstanta!$B$5))</f>
        <v>0.63932271050527556</v>
      </c>
      <c r="C311" s="16">
        <f t="shared" si="8"/>
        <v>15.343745052126614</v>
      </c>
      <c r="D311" s="17" t="str">
        <f t="shared" si="9"/>
        <v>~14K</v>
      </c>
    </row>
    <row r="312" spans="1:4" x14ac:dyDescent="0.25">
      <c r="A312" s="14">
        <v>13.59</v>
      </c>
      <c r="B312" s="15">
        <f>((1/A312)-(1/Konstanta!$B$5))/((1/Konstanta!$B$4)-(1/Konstanta!$B$5))</f>
        <v>0.64021138993950544</v>
      </c>
      <c r="C312" s="16">
        <f t="shared" si="8"/>
        <v>15.36507335854813</v>
      </c>
      <c r="D312" s="17" t="str">
        <f t="shared" si="9"/>
        <v>~14K</v>
      </c>
    </row>
    <row r="313" spans="1:4" x14ac:dyDescent="0.25">
      <c r="A313" s="14">
        <v>13.6</v>
      </c>
      <c r="B313" s="15">
        <f>((1/A313)-(1/Konstanta!$B$5))/((1/Konstanta!$B$4)-(1/Konstanta!$B$5))</f>
        <v>0.6410987624922142</v>
      </c>
      <c r="C313" s="16">
        <f t="shared" si="8"/>
        <v>15.386370299813141</v>
      </c>
      <c r="D313" s="17" t="str">
        <f t="shared" si="9"/>
        <v>~14K</v>
      </c>
    </row>
    <row r="314" spans="1:4" x14ac:dyDescent="0.25">
      <c r="A314" s="14">
        <v>13.61</v>
      </c>
      <c r="B314" s="15">
        <f>((1/A314)-(1/Konstanta!$B$5))/((1/Konstanta!$B$4)-(1/Konstanta!$B$5))</f>
        <v>0.64198483104411086</v>
      </c>
      <c r="C314" s="16">
        <f t="shared" si="8"/>
        <v>15.407635945058662</v>
      </c>
      <c r="D314" s="17" t="str">
        <f t="shared" si="9"/>
        <v>~14K</v>
      </c>
    </row>
    <row r="315" spans="1:4" x14ac:dyDescent="0.25">
      <c r="A315" s="14">
        <v>13.62</v>
      </c>
      <c r="B315" s="15">
        <f>((1/A315)-(1/Konstanta!$B$5))/((1/Konstanta!$B$4)-(1/Konstanta!$B$5))</f>
        <v>0.64286959846744385</v>
      </c>
      <c r="C315" s="16">
        <f t="shared" si="8"/>
        <v>15.428870363218653</v>
      </c>
      <c r="D315" s="17" t="str">
        <f t="shared" si="9"/>
        <v>~14K</v>
      </c>
    </row>
    <row r="316" spans="1:4" x14ac:dyDescent="0.25">
      <c r="A316" s="14">
        <v>13.63</v>
      </c>
      <c r="B316" s="15">
        <f>((1/A316)-(1/Konstanta!$B$5))/((1/Konstanta!$B$4)-(1/Konstanta!$B$5))</f>
        <v>0.64375306762603235</v>
      </c>
      <c r="C316" s="16">
        <f t="shared" si="8"/>
        <v>15.450073623024776</v>
      </c>
      <c r="D316" s="17" t="str">
        <f t="shared" si="9"/>
        <v>~14K</v>
      </c>
    </row>
    <row r="317" spans="1:4" x14ac:dyDescent="0.25">
      <c r="A317" s="14">
        <v>13.64</v>
      </c>
      <c r="B317" s="15">
        <f>((1/A317)-(1/Konstanta!$B$5))/((1/Konstanta!$B$4)-(1/Konstanta!$B$5))</f>
        <v>0.6446352413752976</v>
      </c>
      <c r="C317" s="16">
        <f t="shared" si="8"/>
        <v>15.471245793007142</v>
      </c>
      <c r="D317" s="17" t="str">
        <f t="shared" si="9"/>
        <v>~14K</v>
      </c>
    </row>
    <row r="318" spans="1:4" x14ac:dyDescent="0.25">
      <c r="A318" s="14">
        <v>13.65</v>
      </c>
      <c r="B318" s="15">
        <f>((1/A318)-(1/Konstanta!$B$5))/((1/Konstanta!$B$4)-(1/Konstanta!$B$5))</f>
        <v>0.6455161225622924</v>
      </c>
      <c r="C318" s="16">
        <f t="shared" si="8"/>
        <v>15.492386941495017</v>
      </c>
      <c r="D318" s="17" t="str">
        <f t="shared" si="9"/>
        <v>~14K</v>
      </c>
    </row>
    <row r="319" spans="1:4" x14ac:dyDescent="0.25">
      <c r="A319" s="14">
        <v>13.66</v>
      </c>
      <c r="B319" s="15">
        <f>((1/A319)-(1/Konstanta!$B$5))/((1/Konstanta!$B$4)-(1/Konstanta!$B$5))</f>
        <v>0.64639571402573415</v>
      </c>
      <c r="C319" s="16">
        <f t="shared" si="8"/>
        <v>15.51349713661762</v>
      </c>
      <c r="D319" s="17" t="str">
        <f t="shared" si="9"/>
        <v>~14K</v>
      </c>
    </row>
    <row r="320" spans="1:4" x14ac:dyDescent="0.25">
      <c r="A320" s="14">
        <v>13.67</v>
      </c>
      <c r="B320" s="15">
        <f>((1/A320)-(1/Konstanta!$B$5))/((1/Konstanta!$B$4)-(1/Konstanta!$B$5))</f>
        <v>0.64727401859603262</v>
      </c>
      <c r="C320" s="16">
        <f t="shared" si="8"/>
        <v>15.534576446304783</v>
      </c>
      <c r="D320" s="17" t="str">
        <f t="shared" si="9"/>
        <v>~14K</v>
      </c>
    </row>
    <row r="321" spans="1:4" x14ac:dyDescent="0.25">
      <c r="A321" s="14">
        <v>13.68</v>
      </c>
      <c r="B321" s="15">
        <f>((1/A321)-(1/Konstanta!$B$5))/((1/Konstanta!$B$4)-(1/Konstanta!$B$5))</f>
        <v>0.64815103909532168</v>
      </c>
      <c r="C321" s="16">
        <f t="shared" si="8"/>
        <v>15.555624938287721</v>
      </c>
      <c r="D321" s="17" t="str">
        <f t="shared" si="9"/>
        <v>~14K</v>
      </c>
    </row>
    <row r="322" spans="1:4" x14ac:dyDescent="0.25">
      <c r="A322" s="14">
        <v>13.69</v>
      </c>
      <c r="B322" s="15">
        <f>((1/A322)-(1/Konstanta!$B$5))/((1/Konstanta!$B$4)-(1/Konstanta!$B$5))</f>
        <v>0.64902677833748967</v>
      </c>
      <c r="C322" s="16">
        <f t="shared" si="8"/>
        <v>15.576642680099752</v>
      </c>
      <c r="D322" s="17" t="str">
        <f t="shared" si="9"/>
        <v>~14K</v>
      </c>
    </row>
    <row r="323" spans="1:4" x14ac:dyDescent="0.25">
      <c r="A323" s="14">
        <v>13.7</v>
      </c>
      <c r="B323" s="15">
        <f>((1/A323)-(1/Konstanta!$B$5))/((1/Konstanta!$B$4)-(1/Konstanta!$B$5))</f>
        <v>0.64990123912820952</v>
      </c>
      <c r="C323" s="16">
        <f t="shared" si="8"/>
        <v>15.597629739077028</v>
      </c>
      <c r="D323" s="17" t="str">
        <f t="shared" si="9"/>
        <v>~14K</v>
      </c>
    </row>
    <row r="324" spans="1:4" x14ac:dyDescent="0.25">
      <c r="A324" s="14">
        <v>13.71</v>
      </c>
      <c r="B324" s="15">
        <f>((1/A324)-(1/Konstanta!$B$5))/((1/Konstanta!$B$4)-(1/Konstanta!$B$5))</f>
        <v>0.65077442426496779</v>
      </c>
      <c r="C324" s="16">
        <f t="shared" ref="C324:C387" si="10">B324*24</f>
        <v>15.618586182359227</v>
      </c>
      <c r="D324" s="17" t="str">
        <f t="shared" ref="D324:D387" si="11">IF(ROUND(C324,0)=24,"24K (murni)",IF(ROUND(C324,0)&gt;=22,"~22K",IF(ROUND(C324,0)&gt;=18,"~18K",IF(ROUND(C324,0)&gt;=14,"~14K","&lt;14K"))))</f>
        <v>~14K</v>
      </c>
    </row>
    <row r="325" spans="1:4" x14ac:dyDescent="0.25">
      <c r="A325" s="14">
        <v>13.72</v>
      </c>
      <c r="B325" s="15">
        <f>((1/A325)-(1/Konstanta!$B$5))/((1/Konstanta!$B$4)-(1/Konstanta!$B$5))</f>
        <v>0.65164633653709514</v>
      </c>
      <c r="C325" s="16">
        <f t="shared" si="10"/>
        <v>15.639512076890284</v>
      </c>
      <c r="D325" s="17" t="str">
        <f t="shared" si="11"/>
        <v>~14K</v>
      </c>
    </row>
    <row r="326" spans="1:4" x14ac:dyDescent="0.25">
      <c r="A326" s="14">
        <v>13.73</v>
      </c>
      <c r="B326" s="15">
        <f>((1/A326)-(1/Konstanta!$B$5))/((1/Konstanta!$B$4)-(1/Konstanta!$B$5))</f>
        <v>0.65251697872579606</v>
      </c>
      <c r="C326" s="16">
        <f t="shared" si="10"/>
        <v>15.660407489419105</v>
      </c>
      <c r="D326" s="17" t="str">
        <f t="shared" si="11"/>
        <v>~14K</v>
      </c>
    </row>
    <row r="327" spans="1:4" x14ac:dyDescent="0.25">
      <c r="A327" s="14">
        <v>13.74</v>
      </c>
      <c r="B327" s="15">
        <f>((1/A327)-(1/Konstanta!$B$5))/((1/Konstanta!$B$4)-(1/Konstanta!$B$5))</f>
        <v>0.65338635360417874</v>
      </c>
      <c r="C327" s="16">
        <f t="shared" si="10"/>
        <v>15.681272486500291</v>
      </c>
      <c r="D327" s="17" t="str">
        <f t="shared" si="11"/>
        <v>~14K</v>
      </c>
    </row>
    <row r="328" spans="1:4" x14ac:dyDescent="0.25">
      <c r="A328" s="14">
        <v>13.75</v>
      </c>
      <c r="B328" s="15">
        <f>((1/A328)-(1/Konstanta!$B$5))/((1/Konstanta!$B$4)-(1/Konstanta!$B$5))</f>
        <v>0.6542544639372837</v>
      </c>
      <c r="C328" s="16">
        <f t="shared" si="10"/>
        <v>15.70210713449481</v>
      </c>
      <c r="D328" s="17" t="str">
        <f t="shared" si="11"/>
        <v>~14K</v>
      </c>
    </row>
    <row r="329" spans="1:4" x14ac:dyDescent="0.25">
      <c r="A329" s="14">
        <v>13.76</v>
      </c>
      <c r="B329" s="15">
        <f>((1/A329)-(1/Konstanta!$B$5))/((1/Konstanta!$B$4)-(1/Konstanta!$B$5))</f>
        <v>0.6551213124821138</v>
      </c>
      <c r="C329" s="16">
        <f t="shared" si="10"/>
        <v>15.722911499570731</v>
      </c>
      <c r="D329" s="17" t="str">
        <f t="shared" si="11"/>
        <v>~14K</v>
      </c>
    </row>
    <row r="330" spans="1:4" x14ac:dyDescent="0.25">
      <c r="A330" s="14">
        <v>13.77</v>
      </c>
      <c r="B330" s="15">
        <f>((1/A330)-(1/Konstanta!$B$5))/((1/Konstanta!$B$4)-(1/Konstanta!$B$5))</f>
        <v>0.65598690198766318</v>
      </c>
      <c r="C330" s="16">
        <f t="shared" si="10"/>
        <v>15.743685647703916</v>
      </c>
      <c r="D330" s="17" t="str">
        <f t="shared" si="11"/>
        <v>~14K</v>
      </c>
    </row>
    <row r="331" spans="1:4" x14ac:dyDescent="0.25">
      <c r="A331" s="14">
        <v>13.78</v>
      </c>
      <c r="B331" s="15">
        <f>((1/A331)-(1/Konstanta!$B$5))/((1/Konstanta!$B$4)-(1/Konstanta!$B$5))</f>
        <v>0.65685123519494626</v>
      </c>
      <c r="C331" s="16">
        <f t="shared" si="10"/>
        <v>15.76442964467871</v>
      </c>
      <c r="D331" s="17" t="str">
        <f t="shared" si="11"/>
        <v>~14K</v>
      </c>
    </row>
    <row r="332" spans="1:4" x14ac:dyDescent="0.25">
      <c r="A332" s="14">
        <v>13.79</v>
      </c>
      <c r="B332" s="15">
        <f>((1/A332)-(1/Konstanta!$B$5))/((1/Konstanta!$B$4)-(1/Konstanta!$B$5))</f>
        <v>0.65771431483702625</v>
      </c>
      <c r="C332" s="16">
        <f t="shared" si="10"/>
        <v>15.785143556088631</v>
      </c>
      <c r="D332" s="17" t="str">
        <f t="shared" si="11"/>
        <v>~14K</v>
      </c>
    </row>
    <row r="333" spans="1:4" x14ac:dyDescent="0.25">
      <c r="A333" s="14">
        <v>13.8</v>
      </c>
      <c r="B333" s="15">
        <f>((1/A333)-(1/Konstanta!$B$5))/((1/Konstanta!$B$4)-(1/Konstanta!$B$5))</f>
        <v>0.6585761436390456</v>
      </c>
      <c r="C333" s="16">
        <f t="shared" si="10"/>
        <v>15.805827447337094</v>
      </c>
      <c r="D333" s="17" t="str">
        <f t="shared" si="11"/>
        <v>~14K</v>
      </c>
    </row>
    <row r="334" spans="1:4" x14ac:dyDescent="0.25">
      <c r="A334" s="14">
        <v>13.81</v>
      </c>
      <c r="B334" s="15">
        <f>((1/A334)-(1/Konstanta!$B$5))/((1/Konstanta!$B$4)-(1/Konstanta!$B$5))</f>
        <v>0.65943672431825251</v>
      </c>
      <c r="C334" s="16">
        <f t="shared" si="10"/>
        <v>15.826481383638061</v>
      </c>
      <c r="D334" s="17" t="str">
        <f t="shared" si="11"/>
        <v>~14K</v>
      </c>
    </row>
    <row r="335" spans="1:4" x14ac:dyDescent="0.25">
      <c r="A335" s="14">
        <v>13.82</v>
      </c>
      <c r="B335" s="15">
        <f>((1/A335)-(1/Konstanta!$B$5))/((1/Konstanta!$B$4)-(1/Konstanta!$B$5))</f>
        <v>0.66029605958403059</v>
      </c>
      <c r="C335" s="16">
        <f t="shared" si="10"/>
        <v>15.847105430016734</v>
      </c>
      <c r="D335" s="17" t="str">
        <f t="shared" si="11"/>
        <v>~14K</v>
      </c>
    </row>
    <row r="336" spans="1:4" x14ac:dyDescent="0.25">
      <c r="A336" s="14">
        <v>13.83</v>
      </c>
      <c r="B336" s="15">
        <f>((1/A336)-(1/Konstanta!$B$5))/((1/Konstanta!$B$4)-(1/Konstanta!$B$5))</f>
        <v>0.6611541521379275</v>
      </c>
      <c r="C336" s="16">
        <f t="shared" si="10"/>
        <v>15.867699651310261</v>
      </c>
      <c r="D336" s="17" t="str">
        <f t="shared" si="11"/>
        <v>~14K</v>
      </c>
    </row>
    <row r="337" spans="1:4" x14ac:dyDescent="0.25">
      <c r="A337" s="14">
        <v>13.84</v>
      </c>
      <c r="B337" s="15">
        <f>((1/A337)-(1/Konstanta!$B$5))/((1/Konstanta!$B$4)-(1/Konstanta!$B$5))</f>
        <v>0.6620110046736829</v>
      </c>
      <c r="C337" s="16">
        <f t="shared" si="10"/>
        <v>15.88826411216839</v>
      </c>
      <c r="D337" s="17" t="str">
        <f t="shared" si="11"/>
        <v>~14K</v>
      </c>
    </row>
    <row r="338" spans="1:4" x14ac:dyDescent="0.25">
      <c r="A338" s="14">
        <v>13.85</v>
      </c>
      <c r="B338" s="15">
        <f>((1/A338)-(1/Konstanta!$B$5))/((1/Konstanta!$B$4)-(1/Konstanta!$B$5))</f>
        <v>0.66286661987725692</v>
      </c>
      <c r="C338" s="16">
        <f t="shared" si="10"/>
        <v>15.908798877054167</v>
      </c>
      <c r="D338" s="17" t="str">
        <f t="shared" si="11"/>
        <v>~14K</v>
      </c>
    </row>
    <row r="339" spans="1:4" x14ac:dyDescent="0.25">
      <c r="A339" s="14">
        <v>13.86</v>
      </c>
      <c r="B339" s="15">
        <f>((1/A339)-(1/Konstanta!$B$5))/((1/Konstanta!$B$4)-(1/Konstanta!$B$5))</f>
        <v>0.66372100042685733</v>
      </c>
      <c r="C339" s="16">
        <f t="shared" si="10"/>
        <v>15.929304010244575</v>
      </c>
      <c r="D339" s="17" t="str">
        <f t="shared" si="11"/>
        <v>~14K</v>
      </c>
    </row>
    <row r="340" spans="1:4" x14ac:dyDescent="0.25">
      <c r="A340" s="14">
        <v>13.87</v>
      </c>
      <c r="B340" s="15">
        <f>((1/A340)-(1/Konstanta!$B$5))/((1/Konstanta!$B$4)-(1/Konstanta!$B$5))</f>
        <v>0.66457414899296885</v>
      </c>
      <c r="C340" s="16">
        <f t="shared" si="10"/>
        <v>15.949779575831252</v>
      </c>
      <c r="D340" s="17" t="str">
        <f t="shared" si="11"/>
        <v>~14K</v>
      </c>
    </row>
    <row r="341" spans="1:4" x14ac:dyDescent="0.25">
      <c r="A341" s="14">
        <v>13.88</v>
      </c>
      <c r="B341" s="15">
        <f>((1/A341)-(1/Konstanta!$B$5))/((1/Konstanta!$B$4)-(1/Konstanta!$B$5))</f>
        <v>0.66542606823838013</v>
      </c>
      <c r="C341" s="16">
        <f t="shared" si="10"/>
        <v>15.970225637721123</v>
      </c>
      <c r="D341" s="17" t="str">
        <f t="shared" si="11"/>
        <v>~14K</v>
      </c>
    </row>
    <row r="342" spans="1:4" x14ac:dyDescent="0.25">
      <c r="A342" s="14">
        <v>13.89</v>
      </c>
      <c r="B342" s="15">
        <f>((1/A342)-(1/Konstanta!$B$5))/((1/Konstanta!$B$4)-(1/Konstanta!$B$5))</f>
        <v>0.66627676081821108</v>
      </c>
      <c r="C342" s="16">
        <f t="shared" si="10"/>
        <v>15.990642259637067</v>
      </c>
      <c r="D342" s="17" t="str">
        <f t="shared" si="11"/>
        <v>~14K</v>
      </c>
    </row>
    <row r="343" spans="1:4" x14ac:dyDescent="0.25">
      <c r="A343" s="14">
        <v>13.9</v>
      </c>
      <c r="B343" s="15">
        <f>((1/A343)-(1/Konstanta!$B$5))/((1/Konstanta!$B$4)-(1/Konstanta!$B$5))</f>
        <v>0.66712622937994159</v>
      </c>
      <c r="C343" s="16">
        <f t="shared" si="10"/>
        <v>16.0110295051186</v>
      </c>
      <c r="D343" s="17" t="str">
        <f t="shared" si="11"/>
        <v>~14K</v>
      </c>
    </row>
    <row r="344" spans="1:4" x14ac:dyDescent="0.25">
      <c r="A344" s="14">
        <v>13.91</v>
      </c>
      <c r="B344" s="15">
        <f>((1/A344)-(1/Konstanta!$B$5))/((1/Konstanta!$B$4)-(1/Konstanta!$B$5))</f>
        <v>0.66797447656343811</v>
      </c>
      <c r="C344" s="16">
        <f t="shared" si="10"/>
        <v>16.031387437522515</v>
      </c>
      <c r="D344" s="17" t="str">
        <f t="shared" si="11"/>
        <v>~14K</v>
      </c>
    </row>
    <row r="345" spans="1:4" x14ac:dyDescent="0.25">
      <c r="A345" s="14">
        <v>13.92</v>
      </c>
      <c r="B345" s="15">
        <f>((1/A345)-(1/Konstanta!$B$5))/((1/Konstanta!$B$4)-(1/Konstanta!$B$5))</f>
        <v>0.66882150500098136</v>
      </c>
      <c r="C345" s="16">
        <f t="shared" si="10"/>
        <v>16.051716120023553</v>
      </c>
      <c r="D345" s="17" t="str">
        <f t="shared" si="11"/>
        <v>~14K</v>
      </c>
    </row>
    <row r="346" spans="1:4" x14ac:dyDescent="0.25">
      <c r="A346" s="14">
        <v>13.93</v>
      </c>
      <c r="B346" s="15">
        <f>((1/A346)-(1/Konstanta!$B$5))/((1/Konstanta!$B$4)-(1/Konstanta!$B$5))</f>
        <v>0.66966731731729334</v>
      </c>
      <c r="C346" s="16">
        <f t="shared" si="10"/>
        <v>16.07201561561504</v>
      </c>
      <c r="D346" s="17" t="str">
        <f t="shared" si="11"/>
        <v>~14K</v>
      </c>
    </row>
    <row r="347" spans="1:4" x14ac:dyDescent="0.25">
      <c r="A347" s="14">
        <v>13.94</v>
      </c>
      <c r="B347" s="15">
        <f>((1/A347)-(1/Konstanta!$B$5))/((1/Konstanta!$B$4)-(1/Konstanta!$B$5))</f>
        <v>0.67051191612956473</v>
      </c>
      <c r="C347" s="16">
        <f t="shared" si="10"/>
        <v>16.092285987109555</v>
      </c>
      <c r="D347" s="17" t="str">
        <f t="shared" si="11"/>
        <v>~14K</v>
      </c>
    </row>
    <row r="348" spans="1:4" x14ac:dyDescent="0.25">
      <c r="A348" s="14">
        <v>13.95</v>
      </c>
      <c r="B348" s="15">
        <f>((1/A348)-(1/Konstanta!$B$5))/((1/Konstanta!$B$4)-(1/Konstanta!$B$5))</f>
        <v>0.67135530404748134</v>
      </c>
      <c r="C348" s="16">
        <f t="shared" si="10"/>
        <v>16.11252729713955</v>
      </c>
      <c r="D348" s="17" t="str">
        <f t="shared" si="11"/>
        <v>~14K</v>
      </c>
    </row>
    <row r="349" spans="1:4" x14ac:dyDescent="0.25">
      <c r="A349" s="14">
        <v>13.96</v>
      </c>
      <c r="B349" s="15">
        <f>((1/A349)-(1/Konstanta!$B$5))/((1/Konstanta!$B$4)-(1/Konstanta!$B$5))</f>
        <v>0.67219748367325238</v>
      </c>
      <c r="C349" s="16">
        <f t="shared" si="10"/>
        <v>16.132739608158058</v>
      </c>
      <c r="D349" s="17" t="str">
        <f t="shared" si="11"/>
        <v>~14K</v>
      </c>
    </row>
    <row r="350" spans="1:4" x14ac:dyDescent="0.25">
      <c r="A350" s="14">
        <v>13.97</v>
      </c>
      <c r="B350" s="15">
        <f>((1/A350)-(1/Konstanta!$B$5))/((1/Konstanta!$B$4)-(1/Konstanta!$B$5))</f>
        <v>0.67303845760163494</v>
      </c>
      <c r="C350" s="16">
        <f t="shared" si="10"/>
        <v>16.15292298243924</v>
      </c>
      <c r="D350" s="17" t="str">
        <f t="shared" si="11"/>
        <v>~14K</v>
      </c>
    </row>
    <row r="351" spans="1:4" x14ac:dyDescent="0.25">
      <c r="A351" s="14">
        <v>13.98</v>
      </c>
      <c r="B351" s="15">
        <f>((1/A351)-(1/Konstanta!$B$5))/((1/Konstanta!$B$4)-(1/Konstanta!$B$5))</f>
        <v>0.67387822841996248</v>
      </c>
      <c r="C351" s="16">
        <f t="shared" si="10"/>
        <v>16.173077482079101</v>
      </c>
      <c r="D351" s="17" t="str">
        <f t="shared" si="11"/>
        <v>~14K</v>
      </c>
    </row>
    <row r="352" spans="1:4" x14ac:dyDescent="0.25">
      <c r="A352" s="14">
        <v>13.99</v>
      </c>
      <c r="B352" s="15">
        <f>((1/A352)-(1/Konstanta!$B$5))/((1/Konstanta!$B$4)-(1/Konstanta!$B$5))</f>
        <v>0.67471679870817081</v>
      </c>
      <c r="C352" s="16">
        <f t="shared" si="10"/>
        <v>16.193203168996099</v>
      </c>
      <c r="D352" s="17" t="str">
        <f t="shared" si="11"/>
        <v>~14K</v>
      </c>
    </row>
    <row r="353" spans="1:4" x14ac:dyDescent="0.25">
      <c r="A353" s="14">
        <v>14</v>
      </c>
      <c r="B353" s="15">
        <f>((1/A353)-(1/Konstanta!$B$5))/((1/Konstanta!$B$4)-(1/Konstanta!$B$5))</f>
        <v>0.67555417103882476</v>
      </c>
      <c r="C353" s="16">
        <f t="shared" si="10"/>
        <v>16.213300104931793</v>
      </c>
      <c r="D353" s="17" t="str">
        <f t="shared" si="11"/>
        <v>~14K</v>
      </c>
    </row>
    <row r="354" spans="1:4" x14ac:dyDescent="0.25">
      <c r="A354" s="14">
        <v>14.01</v>
      </c>
      <c r="B354" s="15">
        <f>((1/A354)-(1/Konstanta!$B$5))/((1/Konstanta!$B$4)-(1/Konstanta!$B$5))</f>
        <v>0.67639034797714348</v>
      </c>
      <c r="C354" s="16">
        <f t="shared" si="10"/>
        <v>16.233368351451443</v>
      </c>
      <c r="D354" s="17" t="str">
        <f t="shared" si="11"/>
        <v>~14K</v>
      </c>
    </row>
    <row r="355" spans="1:4" x14ac:dyDescent="0.25">
      <c r="A355" s="14">
        <v>14.02</v>
      </c>
      <c r="B355" s="15">
        <f>((1/A355)-(1/Konstanta!$B$5))/((1/Konstanta!$B$4)-(1/Konstanta!$B$5))</f>
        <v>0.67722533208102831</v>
      </c>
      <c r="C355" s="16">
        <f t="shared" si="10"/>
        <v>16.253407969944679</v>
      </c>
      <c r="D355" s="17" t="str">
        <f t="shared" si="11"/>
        <v>~14K</v>
      </c>
    </row>
    <row r="356" spans="1:4" x14ac:dyDescent="0.25">
      <c r="A356" s="14">
        <v>14.03</v>
      </c>
      <c r="B356" s="15">
        <f>((1/A356)-(1/Konstanta!$B$5))/((1/Konstanta!$B$4)-(1/Konstanta!$B$5))</f>
        <v>0.67805912590108719</v>
      </c>
      <c r="C356" s="16">
        <f t="shared" si="10"/>
        <v>16.273419021626093</v>
      </c>
      <c r="D356" s="17" t="str">
        <f t="shared" si="11"/>
        <v>~14K</v>
      </c>
    </row>
    <row r="357" spans="1:4" x14ac:dyDescent="0.25">
      <c r="A357" s="14">
        <v>14.04</v>
      </c>
      <c r="B357" s="15">
        <f>((1/A357)-(1/Konstanta!$B$5))/((1/Konstanta!$B$4)-(1/Konstanta!$B$5))</f>
        <v>0.67889173198066166</v>
      </c>
      <c r="C357" s="16">
        <f t="shared" si="10"/>
        <v>16.293401567535881</v>
      </c>
      <c r="D357" s="17" t="str">
        <f t="shared" si="11"/>
        <v>~14K</v>
      </c>
    </row>
    <row r="358" spans="1:4" x14ac:dyDescent="0.25">
      <c r="A358" s="14">
        <v>14.05</v>
      </c>
      <c r="B358" s="15">
        <f>((1/A358)-(1/Konstanta!$B$5))/((1/Konstanta!$B$4)-(1/Konstanta!$B$5))</f>
        <v>0.67972315285585239</v>
      </c>
      <c r="C358" s="16">
        <f t="shared" si="10"/>
        <v>16.313355668540456</v>
      </c>
      <c r="D358" s="17" t="str">
        <f t="shared" si="11"/>
        <v>~14K</v>
      </c>
    </row>
    <row r="359" spans="1:4" x14ac:dyDescent="0.25">
      <c r="A359" s="14">
        <v>14.06</v>
      </c>
      <c r="B359" s="15">
        <f>((1/A359)-(1/Konstanta!$B$5))/((1/Konstanta!$B$4)-(1/Konstanta!$B$5))</f>
        <v>0.68055339105554502</v>
      </c>
      <c r="C359" s="16">
        <f t="shared" si="10"/>
        <v>16.33328138533308</v>
      </c>
      <c r="D359" s="17" t="str">
        <f t="shared" si="11"/>
        <v>~14K</v>
      </c>
    </row>
    <row r="360" spans="1:4" x14ac:dyDescent="0.25">
      <c r="A360" s="14">
        <v>14.07</v>
      </c>
      <c r="B360" s="15">
        <f>((1/A360)-(1/Konstanta!$B$5))/((1/Konstanta!$B$4)-(1/Konstanta!$B$5))</f>
        <v>0.68138244910143564</v>
      </c>
      <c r="C360" s="16">
        <f t="shared" si="10"/>
        <v>16.353178778434454</v>
      </c>
      <c r="D360" s="17" t="str">
        <f t="shared" si="11"/>
        <v>~14K</v>
      </c>
    </row>
    <row r="361" spans="1:4" x14ac:dyDescent="0.25">
      <c r="A361" s="14">
        <v>14.08</v>
      </c>
      <c r="B361" s="15">
        <f>((1/A361)-(1/Konstanta!$B$5))/((1/Konstanta!$B$4)-(1/Konstanta!$B$5))</f>
        <v>0.68221032950805616</v>
      </c>
      <c r="C361" s="16">
        <f t="shared" si="10"/>
        <v>16.37304790819335</v>
      </c>
      <c r="D361" s="17" t="str">
        <f t="shared" si="11"/>
        <v>~14K</v>
      </c>
    </row>
    <row r="362" spans="1:4" x14ac:dyDescent="0.25">
      <c r="A362" s="14">
        <v>14.09</v>
      </c>
      <c r="B362" s="15">
        <f>((1/A362)-(1/Konstanta!$B$5))/((1/Konstanta!$B$4)-(1/Konstanta!$B$5))</f>
        <v>0.6830370347828012</v>
      </c>
      <c r="C362" s="16">
        <f t="shared" si="10"/>
        <v>16.392888834787229</v>
      </c>
      <c r="D362" s="17" t="str">
        <f t="shared" si="11"/>
        <v>~14K</v>
      </c>
    </row>
    <row r="363" spans="1:4" x14ac:dyDescent="0.25">
      <c r="A363" s="14">
        <v>14.1</v>
      </c>
      <c r="B363" s="15">
        <f>((1/A363)-(1/Konstanta!$B$5))/((1/Konstanta!$B$4)-(1/Konstanta!$B$5))</f>
        <v>0.68386256742595053</v>
      </c>
      <c r="C363" s="16">
        <f t="shared" si="10"/>
        <v>16.412701618222812</v>
      </c>
      <c r="D363" s="17" t="str">
        <f t="shared" si="11"/>
        <v>~14K</v>
      </c>
    </row>
    <row r="364" spans="1:4" x14ac:dyDescent="0.25">
      <c r="A364" s="14">
        <v>14.11</v>
      </c>
      <c r="B364" s="15">
        <f>((1/A364)-(1/Konstanta!$B$5))/((1/Konstanta!$B$4)-(1/Konstanta!$B$5))</f>
        <v>0.68468692993069746</v>
      </c>
      <c r="C364" s="16">
        <f t="shared" si="10"/>
        <v>16.432486318336739</v>
      </c>
      <c r="D364" s="17" t="str">
        <f t="shared" si="11"/>
        <v>~14K</v>
      </c>
    </row>
    <row r="365" spans="1:4" x14ac:dyDescent="0.25">
      <c r="A365" s="14">
        <v>14.12</v>
      </c>
      <c r="B365" s="15">
        <f>((1/A365)-(1/Konstanta!$B$5))/((1/Konstanta!$B$4)-(1/Konstanta!$B$5))</f>
        <v>0.68551012478317108</v>
      </c>
      <c r="C365" s="16">
        <f t="shared" si="10"/>
        <v>16.452242994796105</v>
      </c>
      <c r="D365" s="17" t="str">
        <f t="shared" si="11"/>
        <v>~14K</v>
      </c>
    </row>
    <row r="366" spans="1:4" x14ac:dyDescent="0.25">
      <c r="A366" s="14">
        <v>14.13</v>
      </c>
      <c r="B366" s="15">
        <f>((1/A366)-(1/Konstanta!$B$5))/((1/Konstanta!$B$4)-(1/Konstanta!$B$5))</f>
        <v>0.68633215446246365</v>
      </c>
      <c r="C366" s="16">
        <f t="shared" si="10"/>
        <v>16.471971707099129</v>
      </c>
      <c r="D366" s="17" t="str">
        <f t="shared" si="11"/>
        <v>~14K</v>
      </c>
    </row>
    <row r="367" spans="1:4" x14ac:dyDescent="0.25">
      <c r="A367" s="14">
        <v>14.14</v>
      </c>
      <c r="B367" s="15">
        <f>((1/A367)-(1/Konstanta!$B$5))/((1/Konstanta!$B$4)-(1/Konstanta!$B$5))</f>
        <v>0.68715302144065404</v>
      </c>
      <c r="C367" s="16">
        <f t="shared" si="10"/>
        <v>16.491672514575697</v>
      </c>
      <c r="D367" s="17" t="str">
        <f t="shared" si="11"/>
        <v>~14K</v>
      </c>
    </row>
    <row r="368" spans="1:4" x14ac:dyDescent="0.25">
      <c r="A368" s="14">
        <v>14.15</v>
      </c>
      <c r="B368" s="15">
        <f>((1/A368)-(1/Konstanta!$B$5))/((1/Konstanta!$B$4)-(1/Konstanta!$B$5))</f>
        <v>0.68797272818283273</v>
      </c>
      <c r="C368" s="16">
        <f t="shared" si="10"/>
        <v>16.511345476387987</v>
      </c>
      <c r="D368" s="17" t="str">
        <f t="shared" si="11"/>
        <v>~14K</v>
      </c>
    </row>
    <row r="369" spans="1:4" x14ac:dyDescent="0.25">
      <c r="A369" s="14">
        <v>14.16</v>
      </c>
      <c r="B369" s="15">
        <f>((1/A369)-(1/Konstanta!$B$5))/((1/Konstanta!$B$4)-(1/Konstanta!$B$5))</f>
        <v>0.68879127714712707</v>
      </c>
      <c r="C369" s="16">
        <f t="shared" si="10"/>
        <v>16.530990651531049</v>
      </c>
      <c r="D369" s="17" t="str">
        <f t="shared" si="11"/>
        <v>~14K</v>
      </c>
    </row>
    <row r="370" spans="1:4" x14ac:dyDescent="0.25">
      <c r="A370" s="14">
        <v>14.17</v>
      </c>
      <c r="B370" s="15">
        <f>((1/A370)-(1/Konstanta!$B$5))/((1/Konstanta!$B$4)-(1/Konstanta!$B$5))</f>
        <v>0.6896086707847251</v>
      </c>
      <c r="C370" s="16">
        <f t="shared" si="10"/>
        <v>16.550608098833401</v>
      </c>
      <c r="D370" s="17" t="str">
        <f t="shared" si="11"/>
        <v>~14K</v>
      </c>
    </row>
    <row r="371" spans="1:4" x14ac:dyDescent="0.25">
      <c r="A371" s="14">
        <v>14.18</v>
      </c>
      <c r="B371" s="15">
        <f>((1/A371)-(1/Konstanta!$B$5))/((1/Konstanta!$B$4)-(1/Konstanta!$B$5))</f>
        <v>0.6904249115399006</v>
      </c>
      <c r="C371" s="16">
        <f t="shared" si="10"/>
        <v>16.570197876957614</v>
      </c>
      <c r="D371" s="17" t="str">
        <f t="shared" si="11"/>
        <v>~14K</v>
      </c>
    </row>
    <row r="372" spans="1:4" x14ac:dyDescent="0.25">
      <c r="A372" s="14">
        <v>14.19</v>
      </c>
      <c r="B372" s="15">
        <f>((1/A372)-(1/Konstanta!$B$5))/((1/Konstanta!$B$4)-(1/Konstanta!$B$5))</f>
        <v>0.69124000185003709</v>
      </c>
      <c r="C372" s="16">
        <f t="shared" si="10"/>
        <v>16.58976004440089</v>
      </c>
      <c r="D372" s="17" t="str">
        <f t="shared" si="11"/>
        <v>~14K</v>
      </c>
    </row>
    <row r="373" spans="1:4" x14ac:dyDescent="0.25">
      <c r="A373" s="14">
        <v>14.2</v>
      </c>
      <c r="B373" s="15">
        <f>((1/A373)-(1/Konstanta!$B$5))/((1/Konstanta!$B$4)-(1/Konstanta!$B$5))</f>
        <v>0.69205394414565224</v>
      </c>
      <c r="C373" s="16">
        <f t="shared" si="10"/>
        <v>16.609294659495653</v>
      </c>
      <c r="D373" s="17" t="str">
        <f t="shared" si="11"/>
        <v>~14K</v>
      </c>
    </row>
    <row r="374" spans="1:4" x14ac:dyDescent="0.25">
      <c r="A374" s="14">
        <v>14.21</v>
      </c>
      <c r="B374" s="15">
        <f>((1/A374)-(1/Konstanta!$B$5))/((1/Konstanta!$B$4)-(1/Konstanta!$B$5))</f>
        <v>0.69286674085042221</v>
      </c>
      <c r="C374" s="16">
        <f t="shared" si="10"/>
        <v>16.628801780410132</v>
      </c>
      <c r="D374" s="17" t="str">
        <f t="shared" si="11"/>
        <v>~14K</v>
      </c>
    </row>
    <row r="375" spans="1:4" x14ac:dyDescent="0.25">
      <c r="A375" s="14">
        <v>14.22</v>
      </c>
      <c r="B375" s="15">
        <f>((1/A375)-(1/Konstanta!$B$5))/((1/Konstanta!$B$4)-(1/Konstanta!$B$5))</f>
        <v>0.69367839438120493</v>
      </c>
      <c r="C375" s="16">
        <f t="shared" si="10"/>
        <v>16.648281465148919</v>
      </c>
      <c r="D375" s="17" t="str">
        <f t="shared" si="11"/>
        <v>~14K</v>
      </c>
    </row>
    <row r="376" spans="1:4" x14ac:dyDescent="0.25">
      <c r="A376" s="14">
        <v>14.23</v>
      </c>
      <c r="B376" s="15">
        <f>((1/A376)-(1/Konstanta!$B$5))/((1/Konstanta!$B$4)-(1/Konstanta!$B$5))</f>
        <v>0.69448890714806533</v>
      </c>
      <c r="C376" s="16">
        <f t="shared" si="10"/>
        <v>16.667733771553568</v>
      </c>
      <c r="D376" s="17" t="str">
        <f t="shared" si="11"/>
        <v>~14K</v>
      </c>
    </row>
    <row r="377" spans="1:4" x14ac:dyDescent="0.25">
      <c r="A377" s="14">
        <v>14.24</v>
      </c>
      <c r="B377" s="15">
        <f>((1/A377)-(1/Konstanta!$B$5))/((1/Konstanta!$B$4)-(1/Konstanta!$B$5))</f>
        <v>0.69529828155429807</v>
      </c>
      <c r="C377" s="16">
        <f t="shared" si="10"/>
        <v>16.687158757303152</v>
      </c>
      <c r="D377" s="17" t="str">
        <f t="shared" si="11"/>
        <v>~14K</v>
      </c>
    </row>
    <row r="378" spans="1:4" x14ac:dyDescent="0.25">
      <c r="A378" s="14">
        <v>14.25</v>
      </c>
      <c r="B378" s="15">
        <f>((1/A378)-(1/Konstanta!$B$5))/((1/Konstanta!$B$4)-(1/Konstanta!$B$5))</f>
        <v>0.69610651999645212</v>
      </c>
      <c r="C378" s="16">
        <f t="shared" si="10"/>
        <v>16.706556479914852</v>
      </c>
      <c r="D378" s="17" t="str">
        <f t="shared" si="11"/>
        <v>~14K</v>
      </c>
    </row>
    <row r="379" spans="1:4" x14ac:dyDescent="0.25">
      <c r="A379" s="14">
        <v>14.26</v>
      </c>
      <c r="B379" s="15">
        <f>((1/A379)-(1/Konstanta!$B$5))/((1/Konstanta!$B$4)-(1/Konstanta!$B$5))</f>
        <v>0.69691362486435326</v>
      </c>
      <c r="C379" s="16">
        <f t="shared" si="10"/>
        <v>16.725926996744477</v>
      </c>
      <c r="D379" s="17" t="str">
        <f t="shared" si="11"/>
        <v>~14K</v>
      </c>
    </row>
    <row r="380" spans="1:4" x14ac:dyDescent="0.25">
      <c r="A380" s="14">
        <v>14.27</v>
      </c>
      <c r="B380" s="15">
        <f>((1/A380)-(1/Konstanta!$B$5))/((1/Konstanta!$B$4)-(1/Konstanta!$B$5))</f>
        <v>0.69771959854112919</v>
      </c>
      <c r="C380" s="16">
        <f t="shared" si="10"/>
        <v>16.7452703649871</v>
      </c>
      <c r="D380" s="17" t="str">
        <f t="shared" si="11"/>
        <v>~14K</v>
      </c>
    </row>
    <row r="381" spans="1:4" x14ac:dyDescent="0.25">
      <c r="A381" s="14">
        <v>14.28</v>
      </c>
      <c r="B381" s="15">
        <f>((1/A381)-(1/Konstanta!$B$5))/((1/Konstanta!$B$4)-(1/Konstanta!$B$5))</f>
        <v>0.69852444340323172</v>
      </c>
      <c r="C381" s="16">
        <f t="shared" si="10"/>
        <v>16.76458664167756</v>
      </c>
      <c r="D381" s="17" t="str">
        <f t="shared" si="11"/>
        <v>~14K</v>
      </c>
    </row>
    <row r="382" spans="1:4" x14ac:dyDescent="0.25">
      <c r="A382" s="14">
        <v>14.29</v>
      </c>
      <c r="B382" s="15">
        <f>((1/A382)-(1/Konstanta!$B$5))/((1/Konstanta!$B$4)-(1/Konstanta!$B$5))</f>
        <v>0.69932816182046065</v>
      </c>
      <c r="C382" s="16">
        <f t="shared" si="10"/>
        <v>16.783875883691056</v>
      </c>
      <c r="D382" s="17" t="str">
        <f t="shared" si="11"/>
        <v>~14K</v>
      </c>
    </row>
    <row r="383" spans="1:4" x14ac:dyDescent="0.25">
      <c r="A383" s="14">
        <v>14.3</v>
      </c>
      <c r="B383" s="15">
        <f>((1/A383)-(1/Konstanta!$B$5))/((1/Konstanta!$B$4)-(1/Konstanta!$B$5))</f>
        <v>0.70013075615598763</v>
      </c>
      <c r="C383" s="16">
        <f t="shared" si="10"/>
        <v>16.803138147743702</v>
      </c>
      <c r="D383" s="17" t="str">
        <f t="shared" si="11"/>
        <v>~14K</v>
      </c>
    </row>
    <row r="384" spans="1:4" x14ac:dyDescent="0.25">
      <c r="A384" s="14">
        <v>14.31</v>
      </c>
      <c r="B384" s="15">
        <f>((1/A384)-(1/Konstanta!$B$5))/((1/Konstanta!$B$4)-(1/Konstanta!$B$5))</f>
        <v>0.70093222876637717</v>
      </c>
      <c r="C384" s="16">
        <f t="shared" si="10"/>
        <v>16.822373490393051</v>
      </c>
      <c r="D384" s="17" t="str">
        <f t="shared" si="11"/>
        <v>~14K</v>
      </c>
    </row>
    <row r="385" spans="1:4" x14ac:dyDescent="0.25">
      <c r="A385" s="14">
        <v>14.32</v>
      </c>
      <c r="B385" s="15">
        <f>((1/A385)-(1/Konstanta!$B$5))/((1/Konstanta!$B$4)-(1/Konstanta!$B$5))</f>
        <v>0.70173258200161259</v>
      </c>
      <c r="C385" s="16">
        <f t="shared" si="10"/>
        <v>16.841581968038703</v>
      </c>
      <c r="D385" s="17" t="str">
        <f t="shared" si="11"/>
        <v>~14K</v>
      </c>
    </row>
    <row r="386" spans="1:4" x14ac:dyDescent="0.25">
      <c r="A386" s="14">
        <v>14.33</v>
      </c>
      <c r="B386" s="15">
        <f>((1/A386)-(1/Konstanta!$B$5))/((1/Konstanta!$B$4)-(1/Konstanta!$B$5))</f>
        <v>0.70253181820511712</v>
      </c>
      <c r="C386" s="16">
        <f t="shared" si="10"/>
        <v>16.860763636922812</v>
      </c>
      <c r="D386" s="17" t="str">
        <f t="shared" si="11"/>
        <v>~14K</v>
      </c>
    </row>
    <row r="387" spans="1:4" x14ac:dyDescent="0.25">
      <c r="A387" s="14">
        <v>14.34</v>
      </c>
      <c r="B387" s="15">
        <f>((1/A387)-(1/Konstanta!$B$5))/((1/Konstanta!$B$4)-(1/Konstanta!$B$5))</f>
        <v>0.70332993971377711</v>
      </c>
      <c r="C387" s="16">
        <f t="shared" si="10"/>
        <v>16.879918553130651</v>
      </c>
      <c r="D387" s="17" t="str">
        <f t="shared" si="11"/>
        <v>~14K</v>
      </c>
    </row>
    <row r="388" spans="1:4" x14ac:dyDescent="0.25">
      <c r="A388" s="14">
        <v>14.35</v>
      </c>
      <c r="B388" s="15">
        <f>((1/A388)-(1/Konstanta!$B$5))/((1/Konstanta!$B$4)-(1/Konstanta!$B$5))</f>
        <v>0.70412694885796523</v>
      </c>
      <c r="C388" s="16">
        <f t="shared" ref="C388:C451" si="12">B388*24</f>
        <v>16.899046772591166</v>
      </c>
      <c r="D388" s="17" t="str">
        <f t="shared" ref="D388:D451" si="13">IF(ROUND(C388,0)=24,"24K (murni)",IF(ROUND(C388,0)&gt;=22,"~22K",IF(ROUND(C388,0)&gt;=18,"~18K",IF(ROUND(C388,0)&gt;=14,"~14K","&lt;14K"))))</f>
        <v>~14K</v>
      </c>
    </row>
    <row r="389" spans="1:4" x14ac:dyDescent="0.25">
      <c r="A389" s="14">
        <v>14.36</v>
      </c>
      <c r="B389" s="15">
        <f>((1/A389)-(1/Konstanta!$B$5))/((1/Konstanta!$B$4)-(1/Konstanta!$B$5))</f>
        <v>0.70492284796156235</v>
      </c>
      <c r="C389" s="16">
        <f t="shared" si="12"/>
        <v>16.918148351077498</v>
      </c>
      <c r="D389" s="17" t="str">
        <f t="shared" si="13"/>
        <v>~14K</v>
      </c>
    </row>
    <row r="390" spans="1:4" x14ac:dyDescent="0.25">
      <c r="A390" s="14">
        <v>14.37</v>
      </c>
      <c r="B390" s="15">
        <f>((1/A390)-(1/Konstanta!$B$5))/((1/Konstanta!$B$4)-(1/Konstanta!$B$5))</f>
        <v>0.70571763934198128</v>
      </c>
      <c r="C390" s="16">
        <f t="shared" si="12"/>
        <v>16.937223344207553</v>
      </c>
      <c r="D390" s="17" t="str">
        <f t="shared" si="13"/>
        <v>~14K</v>
      </c>
    </row>
    <row r="391" spans="1:4" x14ac:dyDescent="0.25">
      <c r="A391" s="14">
        <v>14.38</v>
      </c>
      <c r="B391" s="15">
        <f>((1/A391)-(1/Konstanta!$B$5))/((1/Konstanta!$B$4)-(1/Konstanta!$B$5))</f>
        <v>0.70651132531018834</v>
      </c>
      <c r="C391" s="16">
        <f t="shared" si="12"/>
        <v>16.956271807444519</v>
      </c>
      <c r="D391" s="17" t="str">
        <f t="shared" si="13"/>
        <v>~14K</v>
      </c>
    </row>
    <row r="392" spans="1:4" x14ac:dyDescent="0.25">
      <c r="A392" s="14">
        <v>14.39</v>
      </c>
      <c r="B392" s="15">
        <f>((1/A392)-(1/Konstanta!$B$5))/((1/Konstanta!$B$4)-(1/Konstanta!$B$5))</f>
        <v>0.70730390817072564</v>
      </c>
      <c r="C392" s="16">
        <f t="shared" si="12"/>
        <v>16.975293796097414</v>
      </c>
      <c r="D392" s="17" t="str">
        <f t="shared" si="13"/>
        <v>~14K</v>
      </c>
    </row>
    <row r="393" spans="1:4" x14ac:dyDescent="0.25">
      <c r="A393" s="14">
        <v>14.4</v>
      </c>
      <c r="B393" s="15">
        <f>((1/A393)-(1/Konstanta!$B$5))/((1/Konstanta!$B$4)-(1/Konstanta!$B$5))</f>
        <v>0.70809539022173462</v>
      </c>
      <c r="C393" s="16">
        <f t="shared" si="12"/>
        <v>16.994289365321631</v>
      </c>
      <c r="D393" s="17" t="str">
        <f t="shared" si="13"/>
        <v>~14K</v>
      </c>
    </row>
    <row r="394" spans="1:4" x14ac:dyDescent="0.25">
      <c r="A394" s="14">
        <v>14.41</v>
      </c>
      <c r="B394" s="15">
        <f>((1/A394)-(1/Konstanta!$B$5))/((1/Konstanta!$B$4)-(1/Konstanta!$B$5))</f>
        <v>0.70888577375497674</v>
      </c>
      <c r="C394" s="16">
        <f t="shared" si="12"/>
        <v>17.01325857011944</v>
      </c>
      <c r="D394" s="17" t="str">
        <f t="shared" si="13"/>
        <v>~14K</v>
      </c>
    </row>
    <row r="395" spans="1:4" x14ac:dyDescent="0.25">
      <c r="A395" s="14">
        <v>14.42</v>
      </c>
      <c r="B395" s="15">
        <f>((1/A395)-(1/Konstanta!$B$5))/((1/Konstanta!$B$4)-(1/Konstanta!$B$5))</f>
        <v>0.70967506105585654</v>
      </c>
      <c r="C395" s="16">
        <f t="shared" si="12"/>
        <v>17.032201465340556</v>
      </c>
      <c r="D395" s="17" t="str">
        <f t="shared" si="13"/>
        <v>~14K</v>
      </c>
    </row>
    <row r="396" spans="1:4" x14ac:dyDescent="0.25">
      <c r="A396" s="14">
        <v>14.43</v>
      </c>
      <c r="B396" s="15">
        <f>((1/A396)-(1/Konstanta!$B$5))/((1/Konstanta!$B$4)-(1/Konstanta!$B$5))</f>
        <v>0.71046325440344338</v>
      </c>
      <c r="C396" s="16">
        <f t="shared" si="12"/>
        <v>17.05111810568264</v>
      </c>
      <c r="D396" s="17" t="str">
        <f t="shared" si="13"/>
        <v>~14K</v>
      </c>
    </row>
    <row r="397" spans="1:4" x14ac:dyDescent="0.25">
      <c r="A397" s="14">
        <v>14.44</v>
      </c>
      <c r="B397" s="15">
        <f>((1/A397)-(1/Konstanta!$B$5))/((1/Konstanta!$B$4)-(1/Konstanta!$B$5))</f>
        <v>0.71125035607049314</v>
      </c>
      <c r="C397" s="16">
        <f t="shared" si="12"/>
        <v>17.070008545691834</v>
      </c>
      <c r="D397" s="17" t="str">
        <f t="shared" si="13"/>
        <v>~14K</v>
      </c>
    </row>
    <row r="398" spans="1:4" x14ac:dyDescent="0.25">
      <c r="A398" s="14">
        <v>14.45</v>
      </c>
      <c r="B398" s="15">
        <f>((1/A398)-(1/Konstanta!$B$5))/((1/Konstanta!$B$4)-(1/Konstanta!$B$5))</f>
        <v>0.71203636832347106</v>
      </c>
      <c r="C398" s="16">
        <f t="shared" si="12"/>
        <v>17.088872839763305</v>
      </c>
      <c r="D398" s="17" t="str">
        <f t="shared" si="13"/>
        <v>~14K</v>
      </c>
    </row>
    <row r="399" spans="1:4" x14ac:dyDescent="0.25">
      <c r="A399" s="14">
        <v>14.46</v>
      </c>
      <c r="B399" s="15">
        <f>((1/A399)-(1/Konstanta!$B$5))/((1/Konstanta!$B$4)-(1/Konstanta!$B$5))</f>
        <v>0.71282129342257228</v>
      </c>
      <c r="C399" s="16">
        <f t="shared" si="12"/>
        <v>17.107711042141734</v>
      </c>
      <c r="D399" s="17" t="str">
        <f t="shared" si="13"/>
        <v>~14K</v>
      </c>
    </row>
    <row r="400" spans="1:4" x14ac:dyDescent="0.25">
      <c r="A400" s="14">
        <v>14.47</v>
      </c>
      <c r="B400" s="15">
        <f>((1/A400)-(1/Konstanta!$B$5))/((1/Konstanta!$B$4)-(1/Konstanta!$B$5))</f>
        <v>0.7136051336217436</v>
      </c>
      <c r="C400" s="16">
        <f t="shared" si="12"/>
        <v>17.126523206921846</v>
      </c>
      <c r="D400" s="17" t="str">
        <f t="shared" si="13"/>
        <v>~14K</v>
      </c>
    </row>
    <row r="401" spans="1:4" x14ac:dyDescent="0.25">
      <c r="A401" s="14">
        <v>14.48</v>
      </c>
      <c r="B401" s="15">
        <f>((1/A401)-(1/Konstanta!$B$5))/((1/Konstanta!$B$4)-(1/Konstanta!$B$5))</f>
        <v>0.71438789116870605</v>
      </c>
      <c r="C401" s="16">
        <f t="shared" si="12"/>
        <v>17.145309388048943</v>
      </c>
      <c r="D401" s="17" t="str">
        <f t="shared" si="13"/>
        <v>~14K</v>
      </c>
    </row>
    <row r="402" spans="1:4" x14ac:dyDescent="0.25">
      <c r="A402" s="14">
        <v>14.49</v>
      </c>
      <c r="B402" s="15">
        <f>((1/A402)-(1/Konstanta!$B$5))/((1/Konstanta!$B$4)-(1/Konstanta!$B$5))</f>
        <v>0.71516956830497591</v>
      </c>
      <c r="C402" s="16">
        <f t="shared" si="12"/>
        <v>17.164069639319422</v>
      </c>
      <c r="D402" s="17" t="str">
        <f t="shared" si="13"/>
        <v>~14K</v>
      </c>
    </row>
    <row r="403" spans="1:4" x14ac:dyDescent="0.25">
      <c r="A403" s="14">
        <v>14.5</v>
      </c>
      <c r="B403" s="15">
        <f>((1/A403)-(1/Konstanta!$B$5))/((1/Konstanta!$B$4)-(1/Konstanta!$B$5))</f>
        <v>0.71595016726588534</v>
      </c>
      <c r="C403" s="16">
        <f t="shared" si="12"/>
        <v>17.182804014381247</v>
      </c>
      <c r="D403" s="17" t="str">
        <f t="shared" si="13"/>
        <v>~14K</v>
      </c>
    </row>
    <row r="404" spans="1:4" x14ac:dyDescent="0.25">
      <c r="A404" s="14">
        <v>14.51</v>
      </c>
      <c r="B404" s="15">
        <f>((1/A404)-(1/Konstanta!$B$5))/((1/Konstanta!$B$4)-(1/Konstanta!$B$5))</f>
        <v>0.71672969028060451</v>
      </c>
      <c r="C404" s="16">
        <f t="shared" si="12"/>
        <v>17.201512566734507</v>
      </c>
      <c r="D404" s="17" t="str">
        <f t="shared" si="13"/>
        <v>~14K</v>
      </c>
    </row>
    <row r="405" spans="1:4" x14ac:dyDescent="0.25">
      <c r="A405" s="14">
        <v>14.52</v>
      </c>
      <c r="B405" s="15">
        <f>((1/A405)-(1/Konstanta!$B$5))/((1/Konstanta!$B$4)-(1/Konstanta!$B$5))</f>
        <v>0.71750813957216308</v>
      </c>
      <c r="C405" s="16">
        <f t="shared" si="12"/>
        <v>17.220195349731913</v>
      </c>
      <c r="D405" s="17" t="str">
        <f t="shared" si="13"/>
        <v>~14K</v>
      </c>
    </row>
    <row r="406" spans="1:4" x14ac:dyDescent="0.25">
      <c r="A406" s="14">
        <v>14.53</v>
      </c>
      <c r="B406" s="15">
        <f>((1/A406)-(1/Konstanta!$B$5))/((1/Konstanta!$B$4)-(1/Konstanta!$B$5))</f>
        <v>0.71828551735747037</v>
      </c>
      <c r="C406" s="16">
        <f t="shared" si="12"/>
        <v>17.238852416579288</v>
      </c>
      <c r="D406" s="17" t="str">
        <f t="shared" si="13"/>
        <v>~14K</v>
      </c>
    </row>
    <row r="407" spans="1:4" x14ac:dyDescent="0.25">
      <c r="A407" s="14">
        <v>14.54</v>
      </c>
      <c r="B407" s="15">
        <f>((1/A407)-(1/Konstanta!$B$5))/((1/Konstanta!$B$4)-(1/Konstanta!$B$5))</f>
        <v>0.7190618258473368</v>
      </c>
      <c r="C407" s="16">
        <f t="shared" si="12"/>
        <v>17.257483820336084</v>
      </c>
      <c r="D407" s="17" t="str">
        <f t="shared" si="13"/>
        <v>~14K</v>
      </c>
    </row>
    <row r="408" spans="1:4" x14ac:dyDescent="0.25">
      <c r="A408" s="14">
        <v>14.55</v>
      </c>
      <c r="B408" s="15">
        <f>((1/A408)-(1/Konstanta!$B$5))/((1/Konstanta!$B$4)-(1/Konstanta!$B$5))</f>
        <v>0.7198370672464961</v>
      </c>
      <c r="C408" s="16">
        <f t="shared" si="12"/>
        <v>17.276089613915907</v>
      </c>
      <c r="D408" s="17" t="str">
        <f t="shared" si="13"/>
        <v>~14K</v>
      </c>
    </row>
    <row r="409" spans="1:4" x14ac:dyDescent="0.25">
      <c r="A409" s="14">
        <v>14.56</v>
      </c>
      <c r="B409" s="15">
        <f>((1/A409)-(1/Konstanta!$B$5))/((1/Konstanta!$B$4)-(1/Konstanta!$B$5))</f>
        <v>0.72061124375362318</v>
      </c>
      <c r="C409" s="16">
        <f t="shared" si="12"/>
        <v>17.294669850086954</v>
      </c>
      <c r="D409" s="17" t="str">
        <f t="shared" si="13"/>
        <v>~14K</v>
      </c>
    </row>
    <row r="410" spans="1:4" x14ac:dyDescent="0.25">
      <c r="A410" s="14">
        <v>14.57</v>
      </c>
      <c r="B410" s="15">
        <f>((1/A410)-(1/Konstanta!$B$5))/((1/Konstanta!$B$4)-(1/Konstanta!$B$5))</f>
        <v>0.72138435756135799</v>
      </c>
      <c r="C410" s="16">
        <f t="shared" si="12"/>
        <v>17.313224581472593</v>
      </c>
      <c r="D410" s="17" t="str">
        <f t="shared" si="13"/>
        <v>~14K</v>
      </c>
    </row>
    <row r="411" spans="1:4" x14ac:dyDescent="0.25">
      <c r="A411" s="14">
        <v>14.58</v>
      </c>
      <c r="B411" s="15">
        <f>((1/A411)-(1/Konstanta!$B$5))/((1/Konstanta!$B$4)-(1/Konstanta!$B$5))</f>
        <v>0.72215641085632531</v>
      </c>
      <c r="C411" s="16">
        <f t="shared" si="12"/>
        <v>17.331753860551807</v>
      </c>
      <c r="D411" s="17" t="str">
        <f t="shared" si="13"/>
        <v>~14K</v>
      </c>
    </row>
    <row r="412" spans="1:4" x14ac:dyDescent="0.25">
      <c r="A412" s="14">
        <v>14.59</v>
      </c>
      <c r="B412" s="15">
        <f>((1/A412)-(1/Konstanta!$B$5))/((1/Konstanta!$B$4)-(1/Konstanta!$B$5))</f>
        <v>0.72292740581915427</v>
      </c>
      <c r="C412" s="16">
        <f t="shared" si="12"/>
        <v>17.350257739659703</v>
      </c>
      <c r="D412" s="17" t="str">
        <f t="shared" si="13"/>
        <v>~14K</v>
      </c>
    </row>
    <row r="413" spans="1:4" x14ac:dyDescent="0.25">
      <c r="A413" s="14">
        <v>14.6</v>
      </c>
      <c r="B413" s="15">
        <f>((1/A413)-(1/Konstanta!$B$5))/((1/Konstanta!$B$4)-(1/Konstanta!$B$5))</f>
        <v>0.72369734462449975</v>
      </c>
      <c r="C413" s="16">
        <f t="shared" si="12"/>
        <v>17.368736270987995</v>
      </c>
      <c r="D413" s="17" t="str">
        <f t="shared" si="13"/>
        <v>~14K</v>
      </c>
    </row>
    <row r="414" spans="1:4" x14ac:dyDescent="0.25">
      <c r="A414" s="14">
        <v>14.61</v>
      </c>
      <c r="B414" s="15">
        <f>((1/A414)-(1/Konstanta!$B$5))/((1/Konstanta!$B$4)-(1/Konstanta!$B$5))</f>
        <v>0.72446622944106309</v>
      </c>
      <c r="C414" s="16">
        <f t="shared" si="12"/>
        <v>17.387189506585514</v>
      </c>
      <c r="D414" s="17" t="str">
        <f t="shared" si="13"/>
        <v>~14K</v>
      </c>
    </row>
    <row r="415" spans="1:4" x14ac:dyDescent="0.25">
      <c r="A415" s="14">
        <v>14.62</v>
      </c>
      <c r="B415" s="15">
        <f>((1/A415)-(1/Konstanta!$B$5))/((1/Konstanta!$B$4)-(1/Konstanta!$B$5))</f>
        <v>0.72523406243161193</v>
      </c>
      <c r="C415" s="16">
        <f t="shared" si="12"/>
        <v>17.405617498358687</v>
      </c>
      <c r="D415" s="17" t="str">
        <f t="shared" si="13"/>
        <v>~14K</v>
      </c>
    </row>
    <row r="416" spans="1:4" x14ac:dyDescent="0.25">
      <c r="A416" s="14">
        <v>14.63</v>
      </c>
      <c r="B416" s="15">
        <f>((1/A416)-(1/Konstanta!$B$5))/((1/Konstanta!$B$4)-(1/Konstanta!$B$5))</f>
        <v>0.72600084575300106</v>
      </c>
      <c r="C416" s="16">
        <f t="shared" si="12"/>
        <v>17.424020298072026</v>
      </c>
      <c r="D416" s="17" t="str">
        <f t="shared" si="13"/>
        <v>~14K</v>
      </c>
    </row>
    <row r="417" spans="1:4" x14ac:dyDescent="0.25">
      <c r="A417" s="14">
        <v>14.64</v>
      </c>
      <c r="B417" s="15">
        <f>((1/A417)-(1/Konstanta!$B$5))/((1/Konstanta!$B$4)-(1/Konstanta!$B$5))</f>
        <v>0.72676658155619123</v>
      </c>
      <c r="C417" s="16">
        <f t="shared" si="12"/>
        <v>17.442397957348589</v>
      </c>
      <c r="D417" s="17" t="str">
        <f t="shared" si="13"/>
        <v>~14K</v>
      </c>
    </row>
    <row r="418" spans="1:4" x14ac:dyDescent="0.25">
      <c r="A418" s="14">
        <v>14.65</v>
      </c>
      <c r="B418" s="15">
        <f>((1/A418)-(1/Konstanta!$B$5))/((1/Konstanta!$B$4)-(1/Konstanta!$B$5))</f>
        <v>0.72753127198627121</v>
      </c>
      <c r="C418" s="16">
        <f t="shared" si="12"/>
        <v>17.460750527670509</v>
      </c>
      <c r="D418" s="17" t="str">
        <f t="shared" si="13"/>
        <v>~14K</v>
      </c>
    </row>
    <row r="419" spans="1:4" x14ac:dyDescent="0.25">
      <c r="A419" s="14">
        <v>14.66</v>
      </c>
      <c r="B419" s="15">
        <f>((1/A419)-(1/Konstanta!$B$5))/((1/Konstanta!$B$4)-(1/Konstanta!$B$5))</f>
        <v>0.7282949191824768</v>
      </c>
      <c r="C419" s="16">
        <f t="shared" si="12"/>
        <v>17.479078060379443</v>
      </c>
      <c r="D419" s="17" t="str">
        <f t="shared" si="13"/>
        <v>~14K</v>
      </c>
    </row>
    <row r="420" spans="1:4" x14ac:dyDescent="0.25">
      <c r="A420" s="14">
        <v>14.67</v>
      </c>
      <c r="B420" s="15">
        <f>((1/A420)-(1/Konstanta!$B$5))/((1/Konstanta!$B$4)-(1/Konstanta!$B$5))</f>
        <v>0.72905752527821022</v>
      </c>
      <c r="C420" s="16">
        <f t="shared" si="12"/>
        <v>17.497380606677044</v>
      </c>
      <c r="D420" s="17" t="str">
        <f t="shared" si="13"/>
        <v>~14K</v>
      </c>
    </row>
    <row r="421" spans="1:4" x14ac:dyDescent="0.25">
      <c r="A421" s="14">
        <v>14.68</v>
      </c>
      <c r="B421" s="15">
        <f>((1/A421)-(1/Konstanta!$B$5))/((1/Konstanta!$B$4)-(1/Konstanta!$B$5))</f>
        <v>0.72981909240106124</v>
      </c>
      <c r="C421" s="16">
        <f t="shared" si="12"/>
        <v>17.515658217625472</v>
      </c>
      <c r="D421" s="17" t="str">
        <f t="shared" si="13"/>
        <v>~18K</v>
      </c>
    </row>
    <row r="422" spans="1:4" x14ac:dyDescent="0.25">
      <c r="A422" s="14">
        <v>14.69</v>
      </c>
      <c r="B422" s="15">
        <f>((1/A422)-(1/Konstanta!$B$5))/((1/Konstanta!$B$4)-(1/Konstanta!$B$5))</f>
        <v>0.73057962267282617</v>
      </c>
      <c r="C422" s="16">
        <f t="shared" si="12"/>
        <v>17.533910944147827</v>
      </c>
      <c r="D422" s="17" t="str">
        <f t="shared" si="13"/>
        <v>~18K</v>
      </c>
    </row>
    <row r="423" spans="1:4" x14ac:dyDescent="0.25">
      <c r="A423" s="14">
        <v>14.7</v>
      </c>
      <c r="B423" s="15">
        <f>((1/A423)-(1/Konstanta!$B$5))/((1/Konstanta!$B$4)-(1/Konstanta!$B$5))</f>
        <v>0.73133911820952735</v>
      </c>
      <c r="C423" s="16">
        <f t="shared" si="12"/>
        <v>17.552138837028657</v>
      </c>
      <c r="D423" s="17" t="str">
        <f t="shared" si="13"/>
        <v>~18K</v>
      </c>
    </row>
    <row r="424" spans="1:4" x14ac:dyDescent="0.25">
      <c r="A424" s="14">
        <v>14.71</v>
      </c>
      <c r="B424" s="15">
        <f>((1/A424)-(1/Konstanta!$B$5))/((1/Konstanta!$B$4)-(1/Konstanta!$B$5))</f>
        <v>0.73209758112143364</v>
      </c>
      <c r="C424" s="16">
        <f t="shared" si="12"/>
        <v>17.570341946914407</v>
      </c>
      <c r="D424" s="17" t="str">
        <f t="shared" si="13"/>
        <v>~18K</v>
      </c>
    </row>
    <row r="425" spans="1:4" x14ac:dyDescent="0.25">
      <c r="A425" s="14">
        <v>14.72</v>
      </c>
      <c r="B425" s="15">
        <f>((1/A425)-(1/Konstanta!$B$5))/((1/Konstanta!$B$4)-(1/Konstanta!$B$5))</f>
        <v>0.73285501351307913</v>
      </c>
      <c r="C425" s="16">
        <f t="shared" si="12"/>
        <v>17.588520324313897</v>
      </c>
      <c r="D425" s="17" t="str">
        <f t="shared" si="13"/>
        <v>~18K</v>
      </c>
    </row>
    <row r="426" spans="1:4" x14ac:dyDescent="0.25">
      <c r="A426" s="14">
        <v>14.73</v>
      </c>
      <c r="B426" s="15">
        <f>((1/A426)-(1/Konstanta!$B$5))/((1/Konstanta!$B$4)-(1/Konstanta!$B$5))</f>
        <v>0.73361141748328307</v>
      </c>
      <c r="C426" s="16">
        <f t="shared" si="12"/>
        <v>17.606674019598792</v>
      </c>
      <c r="D426" s="17" t="str">
        <f t="shared" si="13"/>
        <v>~18K</v>
      </c>
    </row>
    <row r="427" spans="1:4" x14ac:dyDescent="0.25">
      <c r="A427" s="14">
        <v>14.74</v>
      </c>
      <c r="B427" s="15">
        <f>((1/A427)-(1/Konstanta!$B$5))/((1/Konstanta!$B$4)-(1/Konstanta!$B$5))</f>
        <v>0.73436679512516945</v>
      </c>
      <c r="C427" s="16">
        <f t="shared" si="12"/>
        <v>17.624803083004068</v>
      </c>
      <c r="D427" s="17" t="str">
        <f t="shared" si="13"/>
        <v>~18K</v>
      </c>
    </row>
    <row r="428" spans="1:4" x14ac:dyDescent="0.25">
      <c r="A428" s="14">
        <v>14.75</v>
      </c>
      <c r="B428" s="15">
        <f>((1/A428)-(1/Konstanta!$B$5))/((1/Konstanta!$B$4)-(1/Konstanta!$B$5))</f>
        <v>0.73512114852618526</v>
      </c>
      <c r="C428" s="16">
        <f t="shared" si="12"/>
        <v>17.642907564628445</v>
      </c>
      <c r="D428" s="17" t="str">
        <f t="shared" si="13"/>
        <v>~18K</v>
      </c>
    </row>
    <row r="429" spans="1:4" x14ac:dyDescent="0.25">
      <c r="A429" s="14">
        <v>14.76</v>
      </c>
      <c r="B429" s="15">
        <f>((1/A429)-(1/Konstanta!$B$5))/((1/Konstanta!$B$4)-(1/Konstanta!$B$5))</f>
        <v>0.73587447976812104</v>
      </c>
      <c r="C429" s="16">
        <f t="shared" si="12"/>
        <v>17.660987514434904</v>
      </c>
      <c r="D429" s="17" t="str">
        <f t="shared" si="13"/>
        <v>~18K</v>
      </c>
    </row>
    <row r="430" spans="1:4" x14ac:dyDescent="0.25">
      <c r="A430" s="14">
        <v>14.77</v>
      </c>
      <c r="B430" s="15">
        <f>((1/A430)-(1/Konstanta!$B$5))/((1/Konstanta!$B$4)-(1/Konstanta!$B$5))</f>
        <v>0.73662679092712968</v>
      </c>
      <c r="C430" s="16">
        <f t="shared" si="12"/>
        <v>17.679042982251111</v>
      </c>
      <c r="D430" s="17" t="str">
        <f t="shared" si="13"/>
        <v>~18K</v>
      </c>
    </row>
    <row r="431" spans="1:4" x14ac:dyDescent="0.25">
      <c r="A431" s="14">
        <v>14.78</v>
      </c>
      <c r="B431" s="15">
        <f>((1/A431)-(1/Konstanta!$B$5))/((1/Konstanta!$B$4)-(1/Konstanta!$B$5))</f>
        <v>0.73737808407374428</v>
      </c>
      <c r="C431" s="16">
        <f t="shared" si="12"/>
        <v>17.697074017769864</v>
      </c>
      <c r="D431" s="17" t="str">
        <f t="shared" si="13"/>
        <v>~18K</v>
      </c>
    </row>
    <row r="432" spans="1:4" x14ac:dyDescent="0.25">
      <c r="A432" s="14">
        <v>14.79</v>
      </c>
      <c r="B432" s="15">
        <f>((1/A432)-(1/Konstanta!$B$5))/((1/Konstanta!$B$4)-(1/Konstanta!$B$5))</f>
        <v>0.73812836127289894</v>
      </c>
      <c r="C432" s="16">
        <f t="shared" si="12"/>
        <v>17.715080670549575</v>
      </c>
      <c r="D432" s="17" t="str">
        <f t="shared" si="13"/>
        <v>~18K</v>
      </c>
    </row>
    <row r="433" spans="1:4" x14ac:dyDescent="0.25">
      <c r="A433" s="14">
        <v>14.8</v>
      </c>
      <c r="B433" s="15">
        <f>((1/A433)-(1/Konstanta!$B$5))/((1/Konstanta!$B$4)-(1/Konstanta!$B$5))</f>
        <v>0.7388776245839469</v>
      </c>
      <c r="C433" s="16">
        <f t="shared" si="12"/>
        <v>17.733062990014727</v>
      </c>
      <c r="D433" s="17" t="str">
        <f t="shared" si="13"/>
        <v>~18K</v>
      </c>
    </row>
    <row r="434" spans="1:4" x14ac:dyDescent="0.25">
      <c r="A434" s="14">
        <v>14.81</v>
      </c>
      <c r="B434" s="15">
        <f>((1/A434)-(1/Konstanta!$B$5))/((1/Konstanta!$B$4)-(1/Konstanta!$B$5))</f>
        <v>0.73962587606067853</v>
      </c>
      <c r="C434" s="16">
        <f t="shared" si="12"/>
        <v>17.751021025456286</v>
      </c>
      <c r="D434" s="17" t="str">
        <f t="shared" si="13"/>
        <v>~18K</v>
      </c>
    </row>
    <row r="435" spans="1:4" x14ac:dyDescent="0.25">
      <c r="A435" s="14">
        <v>14.82</v>
      </c>
      <c r="B435" s="15">
        <f>((1/A435)-(1/Konstanta!$B$5))/((1/Konstanta!$B$4)-(1/Konstanta!$B$5))</f>
        <v>0.74037311775134163</v>
      </c>
      <c r="C435" s="16">
        <f t="shared" si="12"/>
        <v>17.7689548260322</v>
      </c>
      <c r="D435" s="17" t="str">
        <f t="shared" si="13"/>
        <v>~18K</v>
      </c>
    </row>
    <row r="436" spans="1:4" x14ac:dyDescent="0.25">
      <c r="A436" s="14">
        <v>14.83</v>
      </c>
      <c r="B436" s="15">
        <f>((1/A436)-(1/Konstanta!$B$5))/((1/Konstanta!$B$4)-(1/Konstanta!$B$5))</f>
        <v>0.74111935169865939</v>
      </c>
      <c r="C436" s="16">
        <f t="shared" si="12"/>
        <v>17.786864440767825</v>
      </c>
      <c r="D436" s="17" t="str">
        <f t="shared" si="13"/>
        <v>~18K</v>
      </c>
    </row>
    <row r="437" spans="1:4" x14ac:dyDescent="0.25">
      <c r="A437" s="14">
        <v>14.84</v>
      </c>
      <c r="B437" s="15">
        <f>((1/A437)-(1/Konstanta!$B$5))/((1/Konstanta!$B$4)-(1/Konstanta!$B$5))</f>
        <v>0.74186457993984878</v>
      </c>
      <c r="C437" s="16">
        <f t="shared" si="12"/>
        <v>17.804749918556372</v>
      </c>
      <c r="D437" s="17" t="str">
        <f t="shared" si="13"/>
        <v>~18K</v>
      </c>
    </row>
    <row r="438" spans="1:4" x14ac:dyDescent="0.25">
      <c r="A438" s="14">
        <v>14.85</v>
      </c>
      <c r="B438" s="15">
        <f>((1/A438)-(1/Konstanta!$B$5))/((1/Konstanta!$B$4)-(1/Konstanta!$B$5))</f>
        <v>0.74260880450663913</v>
      </c>
      <c r="C438" s="16">
        <f t="shared" si="12"/>
        <v>17.822611308159338</v>
      </c>
      <c r="D438" s="17" t="str">
        <f t="shared" si="13"/>
        <v>~18K</v>
      </c>
    </row>
    <row r="439" spans="1:4" x14ac:dyDescent="0.25">
      <c r="A439" s="14">
        <v>14.86</v>
      </c>
      <c r="B439" s="15">
        <f>((1/A439)-(1/Konstanta!$B$5))/((1/Konstanta!$B$4)-(1/Konstanta!$B$5))</f>
        <v>0.74335202742529105</v>
      </c>
      <c r="C439" s="16">
        <f t="shared" si="12"/>
        <v>17.840448658206984</v>
      </c>
      <c r="D439" s="17" t="str">
        <f t="shared" si="13"/>
        <v>~18K</v>
      </c>
    </row>
    <row r="440" spans="1:4" x14ac:dyDescent="0.25">
      <c r="A440" s="14">
        <v>14.87</v>
      </c>
      <c r="B440" s="15">
        <f>((1/A440)-(1/Konstanta!$B$5))/((1/Konstanta!$B$4)-(1/Konstanta!$B$5))</f>
        <v>0.74409425071661484</v>
      </c>
      <c r="C440" s="16">
        <f t="shared" si="12"/>
        <v>17.858262017198754</v>
      </c>
      <c r="D440" s="17" t="str">
        <f t="shared" si="13"/>
        <v>~18K</v>
      </c>
    </row>
    <row r="441" spans="1:4" x14ac:dyDescent="0.25">
      <c r="A441" s="14">
        <v>14.88</v>
      </c>
      <c r="B441" s="15">
        <f>((1/A441)-(1/Konstanta!$B$5))/((1/Konstanta!$B$4)-(1/Konstanta!$B$5))</f>
        <v>0.74483547639598779</v>
      </c>
      <c r="C441" s="16">
        <f t="shared" si="12"/>
        <v>17.876051433503708</v>
      </c>
      <c r="D441" s="17" t="str">
        <f t="shared" si="13"/>
        <v>~18K</v>
      </c>
    </row>
    <row r="442" spans="1:4" x14ac:dyDescent="0.25">
      <c r="A442" s="14">
        <v>14.89</v>
      </c>
      <c r="B442" s="15">
        <f>((1/A442)-(1/Konstanta!$B$5))/((1/Konstanta!$B$4)-(1/Konstanta!$B$5))</f>
        <v>0.74557570647337357</v>
      </c>
      <c r="C442" s="16">
        <f t="shared" si="12"/>
        <v>17.893816955360965</v>
      </c>
      <c r="D442" s="17" t="str">
        <f t="shared" si="13"/>
        <v>~18K</v>
      </c>
    </row>
    <row r="443" spans="1:4" x14ac:dyDescent="0.25">
      <c r="A443" s="14">
        <v>14.9</v>
      </c>
      <c r="B443" s="15">
        <f>((1/A443)-(1/Konstanta!$B$5))/((1/Konstanta!$B$4)-(1/Konstanta!$B$5))</f>
        <v>0.74631494295334022</v>
      </c>
      <c r="C443" s="16">
        <f t="shared" si="12"/>
        <v>17.911558630880165</v>
      </c>
      <c r="D443" s="17" t="str">
        <f t="shared" si="13"/>
        <v>~18K</v>
      </c>
    </row>
    <row r="444" spans="1:4" x14ac:dyDescent="0.25">
      <c r="A444" s="14">
        <v>14.91</v>
      </c>
      <c r="B444" s="15">
        <f>((1/A444)-(1/Konstanta!$B$5))/((1/Konstanta!$B$4)-(1/Konstanta!$B$5))</f>
        <v>0.74705318783507735</v>
      </c>
      <c r="C444" s="16">
        <f t="shared" si="12"/>
        <v>17.929276508041855</v>
      </c>
      <c r="D444" s="17" t="str">
        <f t="shared" si="13"/>
        <v>~18K</v>
      </c>
    </row>
    <row r="445" spans="1:4" x14ac:dyDescent="0.25">
      <c r="A445" s="14">
        <v>14.92</v>
      </c>
      <c r="B445" s="15">
        <f>((1/A445)-(1/Konstanta!$B$5))/((1/Konstanta!$B$4)-(1/Konstanta!$B$5))</f>
        <v>0.7477904431124156</v>
      </c>
      <c r="C445" s="16">
        <f t="shared" si="12"/>
        <v>17.946970634697976</v>
      </c>
      <c r="D445" s="17" t="str">
        <f t="shared" si="13"/>
        <v>~18K</v>
      </c>
    </row>
    <row r="446" spans="1:4" x14ac:dyDescent="0.25">
      <c r="A446" s="14">
        <v>14.93</v>
      </c>
      <c r="B446" s="15">
        <f>((1/A446)-(1/Konstanta!$B$5))/((1/Konstanta!$B$4)-(1/Konstanta!$B$5))</f>
        <v>0.74852671077384292</v>
      </c>
      <c r="C446" s="16">
        <f t="shared" si="12"/>
        <v>17.96464105857223</v>
      </c>
      <c r="D446" s="17" t="str">
        <f t="shared" si="13"/>
        <v>~18K</v>
      </c>
    </row>
    <row r="447" spans="1:4" x14ac:dyDescent="0.25">
      <c r="A447" s="14">
        <v>14.94</v>
      </c>
      <c r="B447" s="15">
        <f>((1/A447)-(1/Konstanta!$B$5))/((1/Konstanta!$B$4)-(1/Konstanta!$B$5))</f>
        <v>0.74926199280252426</v>
      </c>
      <c r="C447" s="16">
        <f t="shared" si="12"/>
        <v>17.982287827260581</v>
      </c>
      <c r="D447" s="17" t="str">
        <f t="shared" si="13"/>
        <v>~18K</v>
      </c>
    </row>
    <row r="448" spans="1:4" x14ac:dyDescent="0.25">
      <c r="A448" s="14">
        <v>14.95</v>
      </c>
      <c r="B448" s="15">
        <f>((1/A448)-(1/Konstanta!$B$5))/((1/Konstanta!$B$4)-(1/Konstanta!$B$5))</f>
        <v>0.74999629117631761</v>
      </c>
      <c r="C448" s="16">
        <f t="shared" si="12"/>
        <v>17.999910988231623</v>
      </c>
      <c r="D448" s="17" t="str">
        <f t="shared" si="13"/>
        <v>~18K</v>
      </c>
    </row>
    <row r="449" spans="1:4" x14ac:dyDescent="0.25">
      <c r="A449" s="14">
        <v>14.96</v>
      </c>
      <c r="B449" s="15">
        <f>((1/A449)-(1/Konstanta!$B$5))/((1/Konstanta!$B$4)-(1/Konstanta!$B$5))</f>
        <v>0.75072960786779319</v>
      </c>
      <c r="C449" s="16">
        <f t="shared" si="12"/>
        <v>18.017510588827037</v>
      </c>
      <c r="D449" s="17" t="str">
        <f t="shared" si="13"/>
        <v>~18K</v>
      </c>
    </row>
    <row r="450" spans="1:4" x14ac:dyDescent="0.25">
      <c r="A450" s="14">
        <v>14.97</v>
      </c>
      <c r="B450" s="15">
        <f>((1/A450)-(1/Konstanta!$B$5))/((1/Konstanta!$B$4)-(1/Konstanta!$B$5))</f>
        <v>0.75146194484424989</v>
      </c>
      <c r="C450" s="16">
        <f t="shared" si="12"/>
        <v>18.035086676261997</v>
      </c>
      <c r="D450" s="17" t="str">
        <f t="shared" si="13"/>
        <v>~18K</v>
      </c>
    </row>
    <row r="451" spans="1:4" x14ac:dyDescent="0.25">
      <c r="A451" s="14">
        <v>14.98</v>
      </c>
      <c r="B451" s="15">
        <f>((1/A451)-(1/Konstanta!$B$5))/((1/Konstanta!$B$4)-(1/Konstanta!$B$5))</f>
        <v>0.7521933040677341</v>
      </c>
      <c r="C451" s="16">
        <f t="shared" si="12"/>
        <v>18.052639297625618</v>
      </c>
      <c r="D451" s="17" t="str">
        <f t="shared" si="13"/>
        <v>~18K</v>
      </c>
    </row>
    <row r="452" spans="1:4" x14ac:dyDescent="0.25">
      <c r="A452" s="14">
        <v>14.99</v>
      </c>
      <c r="B452" s="15">
        <f>((1/A452)-(1/Konstanta!$B$5))/((1/Konstanta!$B$4)-(1/Konstanta!$B$5))</f>
        <v>0.75292368749505612</v>
      </c>
      <c r="C452" s="16">
        <f t="shared" ref="C452:C515" si="14">B452*24</f>
        <v>18.070168499881348</v>
      </c>
      <c r="D452" s="17" t="str">
        <f t="shared" ref="D452:D515" si="15">IF(ROUND(C452,0)=24,"24K (murni)",IF(ROUND(C452,0)&gt;=22,"~22K",IF(ROUND(C452,0)&gt;=18,"~18K",IF(ROUND(C452,0)&gt;=14,"~14K","&lt;14K"))))</f>
        <v>~18K</v>
      </c>
    </row>
    <row r="453" spans="1:4" x14ac:dyDescent="0.25">
      <c r="A453" s="14">
        <v>15</v>
      </c>
      <c r="B453" s="15">
        <f>((1/A453)-(1/Konstanta!$B$5))/((1/Konstanta!$B$4)-(1/Konstanta!$B$5))</f>
        <v>0.75365309707780848</v>
      </c>
      <c r="C453" s="16">
        <f t="shared" si="14"/>
        <v>18.087674329867404</v>
      </c>
      <c r="D453" s="17" t="str">
        <f t="shared" si="15"/>
        <v>~18K</v>
      </c>
    </row>
    <row r="454" spans="1:4" x14ac:dyDescent="0.25">
      <c r="A454" s="14">
        <v>15.01</v>
      </c>
      <c r="B454" s="15">
        <f>((1/A454)-(1/Konstanta!$B$5))/((1/Konstanta!$B$4)-(1/Konstanta!$B$5))</f>
        <v>0.75438153476238257</v>
      </c>
      <c r="C454" s="16">
        <f t="shared" si="14"/>
        <v>18.105156834297183</v>
      </c>
      <c r="D454" s="17" t="str">
        <f t="shared" si="15"/>
        <v>~18K</v>
      </c>
    </row>
    <row r="455" spans="1:4" x14ac:dyDescent="0.25">
      <c r="A455" s="14">
        <v>15.02</v>
      </c>
      <c r="B455" s="15">
        <f>((1/A455)-(1/Konstanta!$B$5))/((1/Konstanta!$B$4)-(1/Konstanta!$B$5))</f>
        <v>0.75510900248998658</v>
      </c>
      <c r="C455" s="16">
        <f t="shared" si="14"/>
        <v>18.122616059759679</v>
      </c>
      <c r="D455" s="17" t="str">
        <f t="shared" si="15"/>
        <v>~18K</v>
      </c>
    </row>
    <row r="456" spans="1:4" x14ac:dyDescent="0.25">
      <c r="A456" s="14">
        <v>15.03</v>
      </c>
      <c r="B456" s="15">
        <f>((1/A456)-(1/Konstanta!$B$5))/((1/Konstanta!$B$4)-(1/Konstanta!$B$5))</f>
        <v>0.75583550219666218</v>
      </c>
      <c r="C456" s="16">
        <f t="shared" si="14"/>
        <v>18.140052052719891</v>
      </c>
      <c r="D456" s="17" t="str">
        <f t="shared" si="15"/>
        <v>~18K</v>
      </c>
    </row>
    <row r="457" spans="1:4" x14ac:dyDescent="0.25">
      <c r="A457" s="14">
        <v>15.04</v>
      </c>
      <c r="B457" s="15">
        <f>((1/A457)-(1/Konstanta!$B$5))/((1/Konstanta!$B$4)-(1/Konstanta!$B$5))</f>
        <v>0.75656103581330258</v>
      </c>
      <c r="C457" s="16">
        <f t="shared" si="14"/>
        <v>18.157464859519262</v>
      </c>
      <c r="D457" s="17" t="str">
        <f t="shared" si="15"/>
        <v>~18K</v>
      </c>
    </row>
    <row r="458" spans="1:4" x14ac:dyDescent="0.25">
      <c r="A458" s="14">
        <v>15.05</v>
      </c>
      <c r="B458" s="15">
        <f>((1/A458)-(1/Konstanta!$B$5))/((1/Konstanta!$B$4)-(1/Konstanta!$B$5))</f>
        <v>0.75728560526566835</v>
      </c>
      <c r="C458" s="16">
        <f t="shared" si="14"/>
        <v>18.174854526376041</v>
      </c>
      <c r="D458" s="17" t="str">
        <f t="shared" si="15"/>
        <v>~18K</v>
      </c>
    </row>
    <row r="459" spans="1:4" x14ac:dyDescent="0.25">
      <c r="A459" s="14">
        <v>15.06</v>
      </c>
      <c r="B459" s="15">
        <f>((1/A459)-(1/Konstanta!$B$5))/((1/Konstanta!$B$4)-(1/Konstanta!$B$5))</f>
        <v>0.75800921247440523</v>
      </c>
      <c r="C459" s="16">
        <f t="shared" si="14"/>
        <v>18.192221099385726</v>
      </c>
      <c r="D459" s="17" t="str">
        <f t="shared" si="15"/>
        <v>~18K</v>
      </c>
    </row>
    <row r="460" spans="1:4" x14ac:dyDescent="0.25">
      <c r="A460" s="14">
        <v>15.07</v>
      </c>
      <c r="B460" s="15">
        <f>((1/A460)-(1/Konstanta!$B$5))/((1/Konstanta!$B$4)-(1/Konstanta!$B$5))</f>
        <v>0.7587318593550616</v>
      </c>
      <c r="C460" s="16">
        <f t="shared" si="14"/>
        <v>18.209564624521477</v>
      </c>
      <c r="D460" s="17" t="str">
        <f t="shared" si="15"/>
        <v>~18K</v>
      </c>
    </row>
    <row r="461" spans="1:4" x14ac:dyDescent="0.25">
      <c r="A461" s="14">
        <v>15.08</v>
      </c>
      <c r="B461" s="15">
        <f>((1/A461)-(1/Konstanta!$B$5))/((1/Konstanta!$B$4)-(1/Konstanta!$B$5))</f>
        <v>0.75945354781810426</v>
      </c>
      <c r="C461" s="16">
        <f t="shared" si="14"/>
        <v>18.226885147634501</v>
      </c>
      <c r="D461" s="17" t="str">
        <f t="shared" si="15"/>
        <v>~18K</v>
      </c>
    </row>
    <row r="462" spans="1:4" x14ac:dyDescent="0.25">
      <c r="A462" s="14">
        <v>15.09</v>
      </c>
      <c r="B462" s="15">
        <f>((1/A462)-(1/Konstanta!$B$5))/((1/Konstanta!$B$4)-(1/Konstanta!$B$5))</f>
        <v>0.76017427976893637</v>
      </c>
      <c r="C462" s="16">
        <f t="shared" si="14"/>
        <v>18.244182714454475</v>
      </c>
      <c r="D462" s="17" t="str">
        <f t="shared" si="15"/>
        <v>~18K</v>
      </c>
    </row>
    <row r="463" spans="1:4" x14ac:dyDescent="0.25">
      <c r="A463" s="14">
        <v>15.1</v>
      </c>
      <c r="B463" s="15">
        <f>((1/A463)-(1/Konstanta!$B$5))/((1/Konstanta!$B$4)-(1/Konstanta!$B$5))</f>
        <v>0.7608940571079128</v>
      </c>
      <c r="C463" s="16">
        <f t="shared" si="14"/>
        <v>18.261457370589909</v>
      </c>
      <c r="D463" s="17" t="str">
        <f t="shared" si="15"/>
        <v>~18K</v>
      </c>
    </row>
    <row r="464" spans="1:4" x14ac:dyDescent="0.25">
      <c r="A464" s="14">
        <v>15.11</v>
      </c>
      <c r="B464" s="15">
        <f>((1/A464)-(1/Konstanta!$B$5))/((1/Konstanta!$B$4)-(1/Konstanta!$B$5))</f>
        <v>0.76161288173035879</v>
      </c>
      <c r="C464" s="16">
        <f t="shared" si="14"/>
        <v>18.27870916152861</v>
      </c>
      <c r="D464" s="17" t="str">
        <f t="shared" si="15"/>
        <v>~18K</v>
      </c>
    </row>
    <row r="465" spans="1:4" x14ac:dyDescent="0.25">
      <c r="A465" s="14">
        <v>15.12</v>
      </c>
      <c r="B465" s="15">
        <f>((1/A465)-(1/Konstanta!$B$5))/((1/Konstanta!$B$4)-(1/Konstanta!$B$5))</f>
        <v>0.76233075552658425</v>
      </c>
      <c r="C465" s="16">
        <f t="shared" si="14"/>
        <v>18.295938132638021</v>
      </c>
      <c r="D465" s="17" t="str">
        <f t="shared" si="15"/>
        <v>~18K</v>
      </c>
    </row>
    <row r="466" spans="1:4" x14ac:dyDescent="0.25">
      <c r="A466" s="14">
        <v>15.13</v>
      </c>
      <c r="B466" s="15">
        <f>((1/A466)-(1/Konstanta!$B$5))/((1/Konstanta!$B$4)-(1/Konstanta!$B$5))</f>
        <v>0.76304768038190318</v>
      </c>
      <c r="C466" s="16">
        <f t="shared" si="14"/>
        <v>18.313144329165677</v>
      </c>
      <c r="D466" s="17" t="str">
        <f t="shared" si="15"/>
        <v>~18K</v>
      </c>
    </row>
    <row r="467" spans="1:4" x14ac:dyDescent="0.25">
      <c r="A467" s="14">
        <v>15.14</v>
      </c>
      <c r="B467" s="15">
        <f>((1/A467)-(1/Konstanta!$B$5))/((1/Konstanta!$B$4)-(1/Konstanta!$B$5))</f>
        <v>0.76376365817664671</v>
      </c>
      <c r="C467" s="16">
        <f t="shared" si="14"/>
        <v>18.330327796239523</v>
      </c>
      <c r="D467" s="17" t="str">
        <f t="shared" si="15"/>
        <v>~18K</v>
      </c>
    </row>
    <row r="468" spans="1:4" x14ac:dyDescent="0.25">
      <c r="A468" s="14">
        <v>15.15</v>
      </c>
      <c r="B468" s="15">
        <f>((1/A468)-(1/Konstanta!$B$5))/((1/Konstanta!$B$4)-(1/Konstanta!$B$5))</f>
        <v>0.76447869078618258</v>
      </c>
      <c r="C468" s="16">
        <f t="shared" si="14"/>
        <v>18.347488578868383</v>
      </c>
      <c r="D468" s="17" t="str">
        <f t="shared" si="15"/>
        <v>~18K</v>
      </c>
    </row>
    <row r="469" spans="1:4" x14ac:dyDescent="0.25">
      <c r="A469" s="14">
        <v>15.16</v>
      </c>
      <c r="B469" s="15">
        <f>((1/A469)-(1/Konstanta!$B$5))/((1/Konstanta!$B$4)-(1/Konstanta!$B$5))</f>
        <v>0.76519278008093006</v>
      </c>
      <c r="C469" s="16">
        <f t="shared" si="14"/>
        <v>18.364626721942322</v>
      </c>
      <c r="D469" s="17" t="str">
        <f t="shared" si="15"/>
        <v>~18K</v>
      </c>
    </row>
    <row r="470" spans="1:4" x14ac:dyDescent="0.25">
      <c r="A470" s="14">
        <v>15.17</v>
      </c>
      <c r="B470" s="15">
        <f>((1/A470)-(1/Konstanta!$B$5))/((1/Konstanta!$B$4)-(1/Konstanta!$B$5))</f>
        <v>0.76590592792637691</v>
      </c>
      <c r="C470" s="16">
        <f t="shared" si="14"/>
        <v>18.381742270233048</v>
      </c>
      <c r="D470" s="17" t="str">
        <f t="shared" si="15"/>
        <v>~18K</v>
      </c>
    </row>
    <row r="471" spans="1:4" x14ac:dyDescent="0.25">
      <c r="A471" s="14">
        <v>15.18</v>
      </c>
      <c r="B471" s="15">
        <f>((1/A471)-(1/Konstanta!$B$5))/((1/Konstanta!$B$4)-(1/Konstanta!$B$5))</f>
        <v>0.76661813618309427</v>
      </c>
      <c r="C471" s="16">
        <f t="shared" si="14"/>
        <v>18.398835268394262</v>
      </c>
      <c r="D471" s="17" t="str">
        <f t="shared" si="15"/>
        <v>~18K</v>
      </c>
    </row>
    <row r="472" spans="1:4" x14ac:dyDescent="0.25">
      <c r="A472" s="14">
        <v>15.19</v>
      </c>
      <c r="B472" s="15">
        <f>((1/A472)-(1/Konstanta!$B$5))/((1/Konstanta!$B$4)-(1/Konstanta!$B$5))</f>
        <v>0.76732940670675487</v>
      </c>
      <c r="C472" s="16">
        <f t="shared" si="14"/>
        <v>18.415905760962119</v>
      </c>
      <c r="D472" s="17" t="str">
        <f t="shared" si="15"/>
        <v>~18K</v>
      </c>
    </row>
    <row r="473" spans="1:4" x14ac:dyDescent="0.25">
      <c r="A473" s="14">
        <v>15.2</v>
      </c>
      <c r="B473" s="15">
        <f>((1/A473)-(1/Konstanta!$B$5))/((1/Konstanta!$B$4)-(1/Konstanta!$B$5))</f>
        <v>0.76803974134814768</v>
      </c>
      <c r="C473" s="16">
        <f t="shared" si="14"/>
        <v>18.432953792355544</v>
      </c>
      <c r="D473" s="17" t="str">
        <f t="shared" si="15"/>
        <v>~18K</v>
      </c>
    </row>
    <row r="474" spans="1:4" x14ac:dyDescent="0.25">
      <c r="A474" s="14">
        <v>15.21</v>
      </c>
      <c r="B474" s="15">
        <f>((1/A474)-(1/Konstanta!$B$5))/((1/Konstanta!$B$4)-(1/Konstanta!$B$5))</f>
        <v>0.76874914195319388</v>
      </c>
      <c r="C474" s="16">
        <f t="shared" si="14"/>
        <v>18.449979406876654</v>
      </c>
      <c r="D474" s="17" t="str">
        <f t="shared" si="15"/>
        <v>~18K</v>
      </c>
    </row>
    <row r="475" spans="1:4" x14ac:dyDescent="0.25">
      <c r="A475" s="14">
        <v>15.22</v>
      </c>
      <c r="B475" s="15">
        <f>((1/A475)-(1/Konstanta!$B$5))/((1/Konstanta!$B$4)-(1/Konstanta!$B$5))</f>
        <v>0.76945761036296412</v>
      </c>
      <c r="C475" s="16">
        <f t="shared" si="14"/>
        <v>18.466982648711138</v>
      </c>
      <c r="D475" s="17" t="str">
        <f t="shared" si="15"/>
        <v>~18K</v>
      </c>
    </row>
    <row r="476" spans="1:4" x14ac:dyDescent="0.25">
      <c r="A476" s="14">
        <v>15.23</v>
      </c>
      <c r="B476" s="15">
        <f>((1/A476)-(1/Konstanta!$B$5))/((1/Konstanta!$B$4)-(1/Konstanta!$B$5))</f>
        <v>0.77016514841369355</v>
      </c>
      <c r="C476" s="16">
        <f t="shared" si="14"/>
        <v>18.483963561928647</v>
      </c>
      <c r="D476" s="17" t="str">
        <f t="shared" si="15"/>
        <v>~18K</v>
      </c>
    </row>
    <row r="477" spans="1:4" x14ac:dyDescent="0.25">
      <c r="A477" s="14">
        <v>15.24</v>
      </c>
      <c r="B477" s="15">
        <f>((1/A477)-(1/Konstanta!$B$5))/((1/Konstanta!$B$4)-(1/Konstanta!$B$5))</f>
        <v>0.77087175793679708</v>
      </c>
      <c r="C477" s="16">
        <f t="shared" si="14"/>
        <v>18.500922190483131</v>
      </c>
      <c r="D477" s="17" t="str">
        <f t="shared" si="15"/>
        <v>~18K</v>
      </c>
    </row>
    <row r="478" spans="1:4" x14ac:dyDescent="0.25">
      <c r="A478" s="14">
        <v>15.25</v>
      </c>
      <c r="B478" s="15">
        <f>((1/A478)-(1/Konstanta!$B$5))/((1/Konstanta!$B$4)-(1/Konstanta!$B$5))</f>
        <v>0.77157744075888668</v>
      </c>
      <c r="C478" s="16">
        <f t="shared" si="14"/>
        <v>18.517858578213279</v>
      </c>
      <c r="D478" s="17" t="str">
        <f t="shared" si="15"/>
        <v>~18K</v>
      </c>
    </row>
    <row r="479" spans="1:4" x14ac:dyDescent="0.25">
      <c r="A479" s="14">
        <v>15.26</v>
      </c>
      <c r="B479" s="15">
        <f>((1/A479)-(1/Konstanta!$B$5))/((1/Konstanta!$B$4)-(1/Konstanta!$B$5))</f>
        <v>0.77228219870178627</v>
      </c>
      <c r="C479" s="16">
        <f t="shared" si="14"/>
        <v>18.534772768842871</v>
      </c>
      <c r="D479" s="17" t="str">
        <f t="shared" si="15"/>
        <v>~18K</v>
      </c>
    </row>
    <row r="480" spans="1:4" x14ac:dyDescent="0.25">
      <c r="A480" s="14">
        <v>15.27</v>
      </c>
      <c r="B480" s="15">
        <f>((1/A480)-(1/Konstanta!$B$5))/((1/Konstanta!$B$4)-(1/Konstanta!$B$5))</f>
        <v>0.77298603358254703</v>
      </c>
      <c r="C480" s="16">
        <f t="shared" si="14"/>
        <v>18.55166480598113</v>
      </c>
      <c r="D480" s="17" t="str">
        <f t="shared" si="15"/>
        <v>~18K</v>
      </c>
    </row>
    <row r="481" spans="1:4" x14ac:dyDescent="0.25">
      <c r="A481" s="14">
        <v>15.28</v>
      </c>
      <c r="B481" s="15">
        <f>((1/A481)-(1/Konstanta!$B$5))/((1/Konstanta!$B$4)-(1/Konstanta!$B$5))</f>
        <v>0.77368894721346404</v>
      </c>
      <c r="C481" s="16">
        <f t="shared" si="14"/>
        <v>18.568534733123137</v>
      </c>
      <c r="D481" s="17" t="str">
        <f t="shared" si="15"/>
        <v>~18K</v>
      </c>
    </row>
    <row r="482" spans="1:4" x14ac:dyDescent="0.25">
      <c r="A482" s="14">
        <v>15.29</v>
      </c>
      <c r="B482" s="15">
        <f>((1/A482)-(1/Konstanta!$B$5))/((1/Konstanta!$B$4)-(1/Konstanta!$B$5))</f>
        <v>0.77439094140209064</v>
      </c>
      <c r="C482" s="16">
        <f t="shared" si="14"/>
        <v>18.585382593650174</v>
      </c>
      <c r="D482" s="17" t="str">
        <f t="shared" si="15"/>
        <v>~18K</v>
      </c>
    </row>
    <row r="483" spans="1:4" x14ac:dyDescent="0.25">
      <c r="A483" s="14">
        <v>15.3</v>
      </c>
      <c r="B483" s="15">
        <f>((1/A483)-(1/Konstanta!$B$5))/((1/Konstanta!$B$4)-(1/Konstanta!$B$5))</f>
        <v>0.77509201795125493</v>
      </c>
      <c r="C483" s="16">
        <f t="shared" si="14"/>
        <v>18.602208430830117</v>
      </c>
      <c r="D483" s="17" t="str">
        <f t="shared" si="15"/>
        <v>~18K</v>
      </c>
    </row>
    <row r="484" spans="1:4" x14ac:dyDescent="0.25">
      <c r="A484" s="14">
        <v>15.31</v>
      </c>
      <c r="B484" s="15">
        <f>((1/A484)-(1/Konstanta!$B$5))/((1/Konstanta!$B$4)-(1/Konstanta!$B$5))</f>
        <v>0.7757921786590749</v>
      </c>
      <c r="C484" s="16">
        <f t="shared" si="14"/>
        <v>18.619012287817796</v>
      </c>
      <c r="D484" s="17" t="str">
        <f t="shared" si="15"/>
        <v>~18K</v>
      </c>
    </row>
    <row r="485" spans="1:4" x14ac:dyDescent="0.25">
      <c r="A485" s="14">
        <v>15.32</v>
      </c>
      <c r="B485" s="15">
        <f>((1/A485)-(1/Konstanta!$B$5))/((1/Konstanta!$B$4)-(1/Konstanta!$B$5))</f>
        <v>0.77649142531897353</v>
      </c>
      <c r="C485" s="16">
        <f t="shared" si="14"/>
        <v>18.635794207655366</v>
      </c>
      <c r="D485" s="17" t="str">
        <f t="shared" si="15"/>
        <v>~18K</v>
      </c>
    </row>
    <row r="486" spans="1:4" x14ac:dyDescent="0.25">
      <c r="A486" s="14">
        <v>15.33</v>
      </c>
      <c r="B486" s="15">
        <f>((1/A486)-(1/Konstanta!$B$5))/((1/Konstanta!$B$4)-(1/Konstanta!$B$5))</f>
        <v>0.77718975971969406</v>
      </c>
      <c r="C486" s="16">
        <f t="shared" si="14"/>
        <v>18.652554233272657</v>
      </c>
      <c r="D486" s="17" t="str">
        <f t="shared" si="15"/>
        <v>~18K</v>
      </c>
    </row>
    <row r="487" spans="1:4" x14ac:dyDescent="0.25">
      <c r="A487" s="14">
        <v>15.34</v>
      </c>
      <c r="B487" s="15">
        <f>((1/A487)-(1/Konstanta!$B$5))/((1/Konstanta!$B$4)-(1/Konstanta!$B$5))</f>
        <v>0.77788718364531584</v>
      </c>
      <c r="C487" s="16">
        <f t="shared" si="14"/>
        <v>18.669292407487582</v>
      </c>
      <c r="D487" s="17" t="str">
        <f t="shared" si="15"/>
        <v>~18K</v>
      </c>
    </row>
    <row r="488" spans="1:4" x14ac:dyDescent="0.25">
      <c r="A488" s="14">
        <v>15.35</v>
      </c>
      <c r="B488" s="15">
        <f>((1/A488)-(1/Konstanta!$B$5))/((1/Konstanta!$B$4)-(1/Konstanta!$B$5))</f>
        <v>0.77858369887526913</v>
      </c>
      <c r="C488" s="16">
        <f t="shared" si="14"/>
        <v>18.68600877300646</v>
      </c>
      <c r="D488" s="17" t="str">
        <f t="shared" si="15"/>
        <v>~18K</v>
      </c>
    </row>
    <row r="489" spans="1:4" x14ac:dyDescent="0.25">
      <c r="A489" s="14">
        <v>15.36</v>
      </c>
      <c r="B489" s="15">
        <f>((1/A489)-(1/Konstanta!$B$5))/((1/Konstanta!$B$4)-(1/Konstanta!$B$5))</f>
        <v>0.7792793071843499</v>
      </c>
      <c r="C489" s="16">
        <f t="shared" si="14"/>
        <v>18.702703372424399</v>
      </c>
      <c r="D489" s="17" t="str">
        <f t="shared" si="15"/>
        <v>~18K</v>
      </c>
    </row>
    <row r="490" spans="1:4" x14ac:dyDescent="0.25">
      <c r="A490" s="14">
        <v>15.37</v>
      </c>
      <c r="B490" s="15">
        <f>((1/A490)-(1/Konstanta!$B$5))/((1/Konstanta!$B$4)-(1/Konstanta!$B$5))</f>
        <v>0.77997401034273584</v>
      </c>
      <c r="C490" s="16">
        <f t="shared" si="14"/>
        <v>18.719376248225661</v>
      </c>
      <c r="D490" s="17" t="str">
        <f t="shared" si="15"/>
        <v>~18K</v>
      </c>
    </row>
    <row r="491" spans="1:4" x14ac:dyDescent="0.25">
      <c r="A491" s="14">
        <v>15.38</v>
      </c>
      <c r="B491" s="15">
        <f>((1/A491)-(1/Konstanta!$B$5))/((1/Konstanta!$B$4)-(1/Konstanta!$B$5))</f>
        <v>0.78066781011600062</v>
      </c>
      <c r="C491" s="16">
        <f t="shared" si="14"/>
        <v>18.736027442784014</v>
      </c>
      <c r="D491" s="17" t="str">
        <f t="shared" si="15"/>
        <v>~18K</v>
      </c>
    </row>
    <row r="492" spans="1:4" x14ac:dyDescent="0.25">
      <c r="A492" s="14">
        <v>15.39</v>
      </c>
      <c r="B492" s="15">
        <f>((1/A492)-(1/Konstanta!$B$5))/((1/Konstanta!$B$4)-(1/Konstanta!$B$5))</f>
        <v>0.78136070826512827</v>
      </c>
      <c r="C492" s="16">
        <f t="shared" si="14"/>
        <v>18.752656998363079</v>
      </c>
      <c r="D492" s="17" t="str">
        <f t="shared" si="15"/>
        <v>~18K</v>
      </c>
    </row>
    <row r="493" spans="1:4" x14ac:dyDescent="0.25">
      <c r="A493" s="14">
        <v>15.4</v>
      </c>
      <c r="B493" s="15">
        <f>((1/A493)-(1/Konstanta!$B$5))/((1/Konstanta!$B$4)-(1/Konstanta!$B$5))</f>
        <v>0.78205270654652992</v>
      </c>
      <c r="C493" s="16">
        <f t="shared" si="14"/>
        <v>18.769264957116718</v>
      </c>
      <c r="D493" s="17" t="str">
        <f t="shared" si="15"/>
        <v>~18K</v>
      </c>
    </row>
    <row r="494" spans="1:4" x14ac:dyDescent="0.25">
      <c r="A494" s="14">
        <v>15.41</v>
      </c>
      <c r="B494" s="15">
        <f>((1/A494)-(1/Konstanta!$B$5))/((1/Konstanta!$B$4)-(1/Konstanta!$B$5))</f>
        <v>0.78274380671205679</v>
      </c>
      <c r="C494" s="16">
        <f t="shared" si="14"/>
        <v>18.785851361089364</v>
      </c>
      <c r="D494" s="17" t="str">
        <f t="shared" si="15"/>
        <v>~18K</v>
      </c>
    </row>
    <row r="495" spans="1:4" x14ac:dyDescent="0.25">
      <c r="A495" s="14">
        <v>15.42</v>
      </c>
      <c r="B495" s="15">
        <f>((1/A495)-(1/Konstanta!$B$5))/((1/Konstanta!$B$4)-(1/Konstanta!$B$5))</f>
        <v>0.78343401050901618</v>
      </c>
      <c r="C495" s="16">
        <f t="shared" si="14"/>
        <v>18.802416252216389</v>
      </c>
      <c r="D495" s="17" t="str">
        <f t="shared" si="15"/>
        <v>~18K</v>
      </c>
    </row>
    <row r="496" spans="1:4" x14ac:dyDescent="0.25">
      <c r="A496" s="14">
        <v>15.43</v>
      </c>
      <c r="B496" s="15">
        <f>((1/A496)-(1/Konstanta!$B$5))/((1/Konstanta!$B$4)-(1/Konstanta!$B$5))</f>
        <v>0.78412331968018589</v>
      </c>
      <c r="C496" s="16">
        <f t="shared" si="14"/>
        <v>18.818959672324461</v>
      </c>
      <c r="D496" s="17" t="str">
        <f t="shared" si="15"/>
        <v>~18K</v>
      </c>
    </row>
    <row r="497" spans="1:4" x14ac:dyDescent="0.25">
      <c r="A497" s="14">
        <v>15.44</v>
      </c>
      <c r="B497" s="15">
        <f>((1/A497)-(1/Konstanta!$B$5))/((1/Konstanta!$B$4)-(1/Konstanta!$B$5))</f>
        <v>0.78481173596382781</v>
      </c>
      <c r="C497" s="16">
        <f t="shared" si="14"/>
        <v>18.835481663131866</v>
      </c>
      <c r="D497" s="17" t="str">
        <f t="shared" si="15"/>
        <v>~18K</v>
      </c>
    </row>
    <row r="498" spans="1:4" x14ac:dyDescent="0.25">
      <c r="A498" s="14">
        <v>15.45</v>
      </c>
      <c r="B498" s="15">
        <f>((1/A498)-(1/Konstanta!$B$5))/((1/Konstanta!$B$4)-(1/Konstanta!$B$5))</f>
        <v>0.7854992610937046</v>
      </c>
      <c r="C498" s="16">
        <f t="shared" si="14"/>
        <v>18.85198226624891</v>
      </c>
      <c r="D498" s="17" t="str">
        <f t="shared" si="15"/>
        <v>~18K</v>
      </c>
    </row>
    <row r="499" spans="1:4" x14ac:dyDescent="0.25">
      <c r="A499" s="14">
        <v>15.46</v>
      </c>
      <c r="B499" s="15">
        <f>((1/A499)-(1/Konstanta!$B$5))/((1/Konstanta!$B$4)-(1/Konstanta!$B$5))</f>
        <v>0.78618589679909279</v>
      </c>
      <c r="C499" s="16">
        <f t="shared" si="14"/>
        <v>18.868461523178226</v>
      </c>
      <c r="D499" s="17" t="str">
        <f t="shared" si="15"/>
        <v>~18K</v>
      </c>
    </row>
    <row r="500" spans="1:4" x14ac:dyDescent="0.25">
      <c r="A500" s="14">
        <v>15.47</v>
      </c>
      <c r="B500" s="15">
        <f>((1/A500)-(1/Konstanta!$B$5))/((1/Konstanta!$B$4)-(1/Konstanta!$B$5))</f>
        <v>0.78687164480479721</v>
      </c>
      <c r="C500" s="16">
        <f t="shared" si="14"/>
        <v>18.884919475315133</v>
      </c>
      <c r="D500" s="17" t="str">
        <f t="shared" si="15"/>
        <v>~18K</v>
      </c>
    </row>
    <row r="501" spans="1:4" x14ac:dyDescent="0.25">
      <c r="A501" s="14">
        <v>15.48</v>
      </c>
      <c r="B501" s="15">
        <f>((1/A501)-(1/Konstanta!$B$5))/((1/Konstanta!$B$4)-(1/Konstanta!$B$5))</f>
        <v>0.78755650683116585</v>
      </c>
      <c r="C501" s="16">
        <f t="shared" si="14"/>
        <v>18.90135616394798</v>
      </c>
      <c r="D501" s="17" t="str">
        <f t="shared" si="15"/>
        <v>~18K</v>
      </c>
    </row>
    <row r="502" spans="1:4" x14ac:dyDescent="0.25">
      <c r="A502" s="14">
        <v>15.49</v>
      </c>
      <c r="B502" s="15">
        <f>((1/A502)-(1/Konstanta!$B$5))/((1/Konstanta!$B$4)-(1/Konstanta!$B$5))</f>
        <v>0.78824048459410467</v>
      </c>
      <c r="C502" s="16">
        <f t="shared" si="14"/>
        <v>18.917771630258514</v>
      </c>
      <c r="D502" s="17" t="str">
        <f t="shared" si="15"/>
        <v>~18K</v>
      </c>
    </row>
    <row r="503" spans="1:4" x14ac:dyDescent="0.25">
      <c r="A503" s="14">
        <v>15.5</v>
      </c>
      <c r="B503" s="15">
        <f>((1/A503)-(1/Konstanta!$B$5))/((1/Konstanta!$B$4)-(1/Konstanta!$B$5))</f>
        <v>0.78892357980509153</v>
      </c>
      <c r="C503" s="16">
        <f t="shared" si="14"/>
        <v>18.934165915322197</v>
      </c>
      <c r="D503" s="17" t="str">
        <f t="shared" si="15"/>
        <v>~18K</v>
      </c>
    </row>
    <row r="504" spans="1:4" x14ac:dyDescent="0.25">
      <c r="A504" s="14">
        <v>15.51</v>
      </c>
      <c r="B504" s="15">
        <f>((1/A504)-(1/Konstanta!$B$5))/((1/Konstanta!$B$4)-(1/Konstanta!$B$5))</f>
        <v>0.7896057941711897</v>
      </c>
      <c r="C504" s="16">
        <f t="shared" si="14"/>
        <v>18.950539060108554</v>
      </c>
      <c r="D504" s="17" t="str">
        <f t="shared" si="15"/>
        <v>~18K</v>
      </c>
    </row>
    <row r="505" spans="1:4" x14ac:dyDescent="0.25">
      <c r="A505" s="14">
        <v>15.52</v>
      </c>
      <c r="B505" s="15">
        <f>((1/A505)-(1/Konstanta!$B$5))/((1/Konstanta!$B$4)-(1/Konstanta!$B$5))</f>
        <v>0.79028712939506363</v>
      </c>
      <c r="C505" s="16">
        <f t="shared" si="14"/>
        <v>18.966891105481526</v>
      </c>
      <c r="D505" s="17" t="str">
        <f t="shared" si="15"/>
        <v>~18K</v>
      </c>
    </row>
    <row r="506" spans="1:4" x14ac:dyDescent="0.25">
      <c r="A506" s="14">
        <v>15.53</v>
      </c>
      <c r="B506" s="15">
        <f>((1/A506)-(1/Konstanta!$B$5))/((1/Konstanta!$B$4)-(1/Konstanta!$B$5))</f>
        <v>0.79096758717499194</v>
      </c>
      <c r="C506" s="16">
        <f t="shared" si="14"/>
        <v>18.983222092199806</v>
      </c>
      <c r="D506" s="17" t="str">
        <f t="shared" si="15"/>
        <v>~18K</v>
      </c>
    </row>
    <row r="507" spans="1:4" x14ac:dyDescent="0.25">
      <c r="A507" s="14">
        <v>15.54</v>
      </c>
      <c r="B507" s="15">
        <f>((1/A507)-(1/Konstanta!$B$5))/((1/Konstanta!$B$4)-(1/Konstanta!$B$5))</f>
        <v>0.79164716920488165</v>
      </c>
      <c r="C507" s="16">
        <f t="shared" si="14"/>
        <v>18.999532060917161</v>
      </c>
      <c r="D507" s="17" t="str">
        <f t="shared" si="15"/>
        <v>~18K</v>
      </c>
    </row>
    <row r="508" spans="1:4" x14ac:dyDescent="0.25">
      <c r="A508" s="14">
        <v>15.55</v>
      </c>
      <c r="B508" s="15">
        <f>((1/A508)-(1/Konstanta!$B$5))/((1/Konstanta!$B$4)-(1/Konstanta!$B$5))</f>
        <v>0.79232587717428282</v>
      </c>
      <c r="C508" s="16">
        <f t="shared" si="14"/>
        <v>19.015821052182787</v>
      </c>
      <c r="D508" s="17" t="str">
        <f t="shared" si="15"/>
        <v>~18K</v>
      </c>
    </row>
    <row r="509" spans="1:4" x14ac:dyDescent="0.25">
      <c r="A509" s="14">
        <v>15.56</v>
      </c>
      <c r="B509" s="15">
        <f>((1/A509)-(1/Konstanta!$B$5))/((1/Konstanta!$B$4)-(1/Konstanta!$B$5))</f>
        <v>0.79300371276840187</v>
      </c>
      <c r="C509" s="16">
        <f t="shared" si="14"/>
        <v>19.032089106441646</v>
      </c>
      <c r="D509" s="17" t="str">
        <f t="shared" si="15"/>
        <v>~18K</v>
      </c>
    </row>
    <row r="510" spans="1:4" x14ac:dyDescent="0.25">
      <c r="A510" s="14">
        <v>15.57</v>
      </c>
      <c r="B510" s="15">
        <f>((1/A510)-(1/Konstanta!$B$5))/((1/Konstanta!$B$4)-(1/Konstanta!$B$5))</f>
        <v>0.79368067766811623</v>
      </c>
      <c r="C510" s="16">
        <f t="shared" si="14"/>
        <v>19.048336264034788</v>
      </c>
      <c r="D510" s="17" t="str">
        <f t="shared" si="15"/>
        <v>~18K</v>
      </c>
    </row>
    <row r="511" spans="1:4" x14ac:dyDescent="0.25">
      <c r="A511" s="14">
        <v>15.58</v>
      </c>
      <c r="B511" s="15">
        <f>((1/A511)-(1/Konstanta!$B$5))/((1/Konstanta!$B$4)-(1/Konstanta!$B$5))</f>
        <v>0.79435677354998746</v>
      </c>
      <c r="C511" s="16">
        <f t="shared" si="14"/>
        <v>19.064562565199701</v>
      </c>
      <c r="D511" s="17" t="str">
        <f t="shared" si="15"/>
        <v>~18K</v>
      </c>
    </row>
    <row r="512" spans="1:4" x14ac:dyDescent="0.25">
      <c r="A512" s="14">
        <v>15.59</v>
      </c>
      <c r="B512" s="15">
        <f>((1/A512)-(1/Konstanta!$B$5))/((1/Konstanta!$B$4)-(1/Konstanta!$B$5))</f>
        <v>0.79503200208627578</v>
      </c>
      <c r="C512" s="16">
        <f t="shared" si="14"/>
        <v>19.080768050070617</v>
      </c>
      <c r="D512" s="17" t="str">
        <f t="shared" si="15"/>
        <v>~18K</v>
      </c>
    </row>
    <row r="513" spans="1:4" x14ac:dyDescent="0.25">
      <c r="A513" s="14">
        <v>15.6</v>
      </c>
      <c r="B513" s="15">
        <f>((1/A513)-(1/Konstanta!$B$5))/((1/Konstanta!$B$4)-(1/Konstanta!$B$5))</f>
        <v>0.7957063649449535</v>
      </c>
      <c r="C513" s="16">
        <f t="shared" si="14"/>
        <v>19.096952758678885</v>
      </c>
      <c r="D513" s="17" t="str">
        <f t="shared" si="15"/>
        <v>~18K</v>
      </c>
    </row>
    <row r="514" spans="1:4" x14ac:dyDescent="0.25">
      <c r="A514" s="14">
        <v>15.61</v>
      </c>
      <c r="B514" s="15">
        <f>((1/A514)-(1/Konstanta!$B$5))/((1/Konstanta!$B$4)-(1/Konstanta!$B$5))</f>
        <v>0.79637986378971892</v>
      </c>
      <c r="C514" s="16">
        <f t="shared" si="14"/>
        <v>19.113116730953255</v>
      </c>
      <c r="D514" s="17" t="str">
        <f t="shared" si="15"/>
        <v>~18K</v>
      </c>
    </row>
    <row r="515" spans="1:4" x14ac:dyDescent="0.25">
      <c r="A515" s="14">
        <v>15.62</v>
      </c>
      <c r="B515" s="15">
        <f>((1/A515)-(1/Konstanta!$B$5))/((1/Konstanta!$B$4)-(1/Konstanta!$B$5))</f>
        <v>0.79705250028000951</v>
      </c>
      <c r="C515" s="16">
        <f t="shared" si="14"/>
        <v>19.12926000672023</v>
      </c>
      <c r="D515" s="17" t="str">
        <f t="shared" si="15"/>
        <v>~18K</v>
      </c>
    </row>
    <row r="516" spans="1:4" x14ac:dyDescent="0.25">
      <c r="A516" s="14">
        <v>15.63</v>
      </c>
      <c r="B516" s="15">
        <f>((1/A516)-(1/Konstanta!$B$5))/((1/Konstanta!$B$4)-(1/Konstanta!$B$5))</f>
        <v>0.79772427607101626</v>
      </c>
      <c r="C516" s="16">
        <f t="shared" ref="C516:C579" si="16">B516*24</f>
        <v>19.145382625704389</v>
      </c>
      <c r="D516" s="17" t="str">
        <f t="shared" ref="D516:D579" si="17">IF(ROUND(C516,0)=24,"24K (murni)",IF(ROUND(C516,0)&gt;=22,"~22K",IF(ROUND(C516,0)&gt;=18,"~18K",IF(ROUND(C516,0)&gt;=14,"~14K","&lt;14K"))))</f>
        <v>~18K</v>
      </c>
    </row>
    <row r="517" spans="1:4" x14ac:dyDescent="0.25">
      <c r="A517" s="14">
        <v>15.64</v>
      </c>
      <c r="B517" s="15">
        <f>((1/A517)-(1/Konstanta!$B$5))/((1/Konstanta!$B$4)-(1/Konstanta!$B$5))</f>
        <v>0.79839519281369686</v>
      </c>
      <c r="C517" s="16">
        <f t="shared" si="16"/>
        <v>19.161484627528726</v>
      </c>
      <c r="D517" s="17" t="str">
        <f t="shared" si="17"/>
        <v>~18K</v>
      </c>
    </row>
    <row r="518" spans="1:4" x14ac:dyDescent="0.25">
      <c r="A518" s="14">
        <v>15.65</v>
      </c>
      <c r="B518" s="15">
        <f>((1/A518)-(1/Konstanta!$B$5))/((1/Konstanta!$B$4)-(1/Konstanta!$B$5))</f>
        <v>0.79906525215478952</v>
      </c>
      <c r="C518" s="16">
        <f t="shared" si="16"/>
        <v>19.177566051714948</v>
      </c>
      <c r="D518" s="17" t="str">
        <f t="shared" si="17"/>
        <v>~18K</v>
      </c>
    </row>
    <row r="519" spans="1:4" x14ac:dyDescent="0.25">
      <c r="A519" s="14">
        <v>15.66</v>
      </c>
      <c r="B519" s="15">
        <f>((1/A519)-(1/Konstanta!$B$5))/((1/Konstanta!$B$4)-(1/Konstanta!$B$5))</f>
        <v>0.79973445573682567</v>
      </c>
      <c r="C519" s="16">
        <f t="shared" si="16"/>
        <v>19.193626937683817</v>
      </c>
      <c r="D519" s="17" t="str">
        <f t="shared" si="17"/>
        <v>~18K</v>
      </c>
    </row>
    <row r="520" spans="1:4" x14ac:dyDescent="0.25">
      <c r="A520" s="14">
        <v>15.67</v>
      </c>
      <c r="B520" s="15">
        <f>((1/A520)-(1/Konstanta!$B$5))/((1/Konstanta!$B$4)-(1/Konstanta!$B$5))</f>
        <v>0.80040280519814477</v>
      </c>
      <c r="C520" s="16">
        <f t="shared" si="16"/>
        <v>19.209667324755475</v>
      </c>
      <c r="D520" s="17" t="str">
        <f t="shared" si="17"/>
        <v>~18K</v>
      </c>
    </row>
    <row r="521" spans="1:4" x14ac:dyDescent="0.25">
      <c r="A521" s="14">
        <v>15.68</v>
      </c>
      <c r="B521" s="15">
        <f>((1/A521)-(1/Konstanta!$B$5))/((1/Konstanta!$B$4)-(1/Konstanta!$B$5))</f>
        <v>0.80107030217290576</v>
      </c>
      <c r="C521" s="16">
        <f t="shared" si="16"/>
        <v>19.22568725214974</v>
      </c>
      <c r="D521" s="17" t="str">
        <f t="shared" si="17"/>
        <v>~18K</v>
      </c>
    </row>
    <row r="522" spans="1:4" x14ac:dyDescent="0.25">
      <c r="A522" s="14">
        <v>15.69</v>
      </c>
      <c r="B522" s="15">
        <f>((1/A522)-(1/Konstanta!$B$5))/((1/Konstanta!$B$4)-(1/Konstanta!$B$5))</f>
        <v>0.80173694829110242</v>
      </c>
      <c r="C522" s="16">
        <f t="shared" si="16"/>
        <v>19.241686758986457</v>
      </c>
      <c r="D522" s="17" t="str">
        <f t="shared" si="17"/>
        <v>~18K</v>
      </c>
    </row>
    <row r="523" spans="1:4" x14ac:dyDescent="0.25">
      <c r="A523" s="14">
        <v>15.7</v>
      </c>
      <c r="B523" s="15">
        <f>((1/A523)-(1/Konstanta!$B$5))/((1/Konstanta!$B$4)-(1/Konstanta!$B$5))</f>
        <v>0.80240274517857546</v>
      </c>
      <c r="C523" s="16">
        <f t="shared" si="16"/>
        <v>19.25766588428581</v>
      </c>
      <c r="D523" s="17" t="str">
        <f t="shared" si="17"/>
        <v>~18K</v>
      </c>
    </row>
    <row r="524" spans="1:4" x14ac:dyDescent="0.25">
      <c r="A524" s="14">
        <v>15.71</v>
      </c>
      <c r="B524" s="15">
        <f>((1/A524)-(1/Konstanta!$B$5))/((1/Konstanta!$B$4)-(1/Konstanta!$B$5))</f>
        <v>0.80306769445702553</v>
      </c>
      <c r="C524" s="16">
        <f t="shared" si="16"/>
        <v>19.273624666968612</v>
      </c>
      <c r="D524" s="17" t="str">
        <f t="shared" si="17"/>
        <v>~18K</v>
      </c>
    </row>
    <row r="525" spans="1:4" x14ac:dyDescent="0.25">
      <c r="A525" s="14">
        <v>15.72</v>
      </c>
      <c r="B525" s="15">
        <f>((1/A525)-(1/Konstanta!$B$5))/((1/Konstanta!$B$4)-(1/Konstanta!$B$5))</f>
        <v>0.80373179774402703</v>
      </c>
      <c r="C525" s="16">
        <f t="shared" si="16"/>
        <v>19.289563145856647</v>
      </c>
      <c r="D525" s="17" t="str">
        <f t="shared" si="17"/>
        <v>~18K</v>
      </c>
    </row>
    <row r="526" spans="1:4" x14ac:dyDescent="0.25">
      <c r="A526" s="14">
        <v>15.73</v>
      </c>
      <c r="B526" s="15">
        <f>((1/A526)-(1/Konstanta!$B$5))/((1/Konstanta!$B$4)-(1/Konstanta!$B$5))</f>
        <v>0.80439505665304145</v>
      </c>
      <c r="C526" s="16">
        <f t="shared" si="16"/>
        <v>19.305481359672996</v>
      </c>
      <c r="D526" s="17" t="str">
        <f t="shared" si="17"/>
        <v>~18K</v>
      </c>
    </row>
    <row r="527" spans="1:4" x14ac:dyDescent="0.25">
      <c r="A527" s="14">
        <v>15.74</v>
      </c>
      <c r="B527" s="15">
        <f>((1/A527)-(1/Konstanta!$B$5))/((1/Konstanta!$B$4)-(1/Konstanta!$B$5))</f>
        <v>0.80505747279342921</v>
      </c>
      <c r="C527" s="16">
        <f t="shared" si="16"/>
        <v>19.321379347042303</v>
      </c>
      <c r="D527" s="17" t="str">
        <f t="shared" si="17"/>
        <v>~18K</v>
      </c>
    </row>
    <row r="528" spans="1:4" x14ac:dyDescent="0.25">
      <c r="A528" s="14">
        <v>15.75</v>
      </c>
      <c r="B528" s="15">
        <f>((1/A528)-(1/Konstanta!$B$5))/((1/Konstanta!$B$4)-(1/Konstanta!$B$5))</f>
        <v>0.80571904777046444</v>
      </c>
      <c r="C528" s="16">
        <f t="shared" si="16"/>
        <v>19.337257146491147</v>
      </c>
      <c r="D528" s="17" t="str">
        <f t="shared" si="17"/>
        <v>~18K</v>
      </c>
    </row>
    <row r="529" spans="1:4" x14ac:dyDescent="0.25">
      <c r="A529" s="14">
        <v>15.76</v>
      </c>
      <c r="B529" s="15">
        <f>((1/A529)-(1/Konstanta!$B$5))/((1/Konstanta!$B$4)-(1/Konstanta!$B$5))</f>
        <v>0.80637978318534587</v>
      </c>
      <c r="C529" s="16">
        <f t="shared" si="16"/>
        <v>19.353114796448303</v>
      </c>
      <c r="D529" s="17" t="str">
        <f t="shared" si="17"/>
        <v>~18K</v>
      </c>
    </row>
    <row r="530" spans="1:4" x14ac:dyDescent="0.25">
      <c r="A530" s="14">
        <v>15.77</v>
      </c>
      <c r="B530" s="15">
        <f>((1/A530)-(1/Konstanta!$B$5))/((1/Konstanta!$B$4)-(1/Konstanta!$B$5))</f>
        <v>0.80703968063521137</v>
      </c>
      <c r="C530" s="16">
        <f t="shared" si="16"/>
        <v>19.368952335245073</v>
      </c>
      <c r="D530" s="17" t="str">
        <f t="shared" si="17"/>
        <v>~18K</v>
      </c>
    </row>
    <row r="531" spans="1:4" x14ac:dyDescent="0.25">
      <c r="A531" s="14">
        <v>15.78</v>
      </c>
      <c r="B531" s="15">
        <f>((1/A531)-(1/Konstanta!$B$5))/((1/Konstanta!$B$4)-(1/Konstanta!$B$5))</f>
        <v>0.80769874171315081</v>
      </c>
      <c r="C531" s="16">
        <f t="shared" si="16"/>
        <v>19.38476980111562</v>
      </c>
      <c r="D531" s="17" t="str">
        <f t="shared" si="17"/>
        <v>~18K</v>
      </c>
    </row>
    <row r="532" spans="1:4" x14ac:dyDescent="0.25">
      <c r="A532" s="14">
        <v>15.79</v>
      </c>
      <c r="B532" s="15">
        <f>((1/A532)-(1/Konstanta!$B$5))/((1/Konstanta!$B$4)-(1/Konstanta!$B$5))</f>
        <v>0.80835696800821755</v>
      </c>
      <c r="C532" s="16">
        <f t="shared" si="16"/>
        <v>19.400567232197222</v>
      </c>
      <c r="D532" s="17" t="str">
        <f t="shared" si="17"/>
        <v>~18K</v>
      </c>
    </row>
    <row r="533" spans="1:4" x14ac:dyDescent="0.25">
      <c r="A533" s="14">
        <v>15.8</v>
      </c>
      <c r="B533" s="15">
        <f>((1/A533)-(1/Konstanta!$B$5))/((1/Konstanta!$B$4)-(1/Konstanta!$B$5))</f>
        <v>0.80901436110544267</v>
      </c>
      <c r="C533" s="16">
        <f t="shared" si="16"/>
        <v>19.416344666530623</v>
      </c>
      <c r="D533" s="17" t="str">
        <f t="shared" si="17"/>
        <v>~18K</v>
      </c>
    </row>
    <row r="534" spans="1:4" x14ac:dyDescent="0.25">
      <c r="A534" s="14">
        <v>15.81</v>
      </c>
      <c r="B534" s="15">
        <f>((1/A534)-(1/Konstanta!$B$5))/((1/Konstanta!$B$4)-(1/Konstanta!$B$5))</f>
        <v>0.80967092258584628</v>
      </c>
      <c r="C534" s="16">
        <f t="shared" si="16"/>
        <v>19.432102142060309</v>
      </c>
      <c r="D534" s="17" t="str">
        <f t="shared" si="17"/>
        <v>~18K</v>
      </c>
    </row>
    <row r="535" spans="1:4" x14ac:dyDescent="0.25">
      <c r="A535" s="14">
        <v>15.82</v>
      </c>
      <c r="B535" s="15">
        <f>((1/A535)-(1/Konstanta!$B$5))/((1/Konstanta!$B$4)-(1/Konstanta!$B$5))</f>
        <v>0.81032665402645165</v>
      </c>
      <c r="C535" s="16">
        <f t="shared" si="16"/>
        <v>19.447839696634841</v>
      </c>
      <c r="D535" s="17" t="str">
        <f t="shared" si="17"/>
        <v>~18K</v>
      </c>
    </row>
    <row r="536" spans="1:4" x14ac:dyDescent="0.25">
      <c r="A536" s="14">
        <v>15.83</v>
      </c>
      <c r="B536" s="15">
        <f>((1/A536)-(1/Konstanta!$B$5))/((1/Konstanta!$B$4)-(1/Konstanta!$B$5))</f>
        <v>0.81098155700029695</v>
      </c>
      <c r="C536" s="16">
        <f t="shared" si="16"/>
        <v>19.463557368007127</v>
      </c>
      <c r="D536" s="17" t="str">
        <f t="shared" si="17"/>
        <v>~18K</v>
      </c>
    </row>
    <row r="537" spans="1:4" x14ac:dyDescent="0.25">
      <c r="A537" s="14">
        <v>15.84</v>
      </c>
      <c r="B537" s="15">
        <f>((1/A537)-(1/Konstanta!$B$5))/((1/Konstanta!$B$4)-(1/Konstanta!$B$5))</f>
        <v>0.81163563307644793</v>
      </c>
      <c r="C537" s="16">
        <f t="shared" si="16"/>
        <v>19.479255193834749</v>
      </c>
      <c r="D537" s="17" t="str">
        <f t="shared" si="17"/>
        <v>~18K</v>
      </c>
    </row>
    <row r="538" spans="1:4" x14ac:dyDescent="0.25">
      <c r="A538" s="14">
        <v>15.85</v>
      </c>
      <c r="B538" s="15">
        <f>((1/A538)-(1/Konstanta!$B$5))/((1/Konstanta!$B$4)-(1/Konstanta!$B$5))</f>
        <v>0.81228888382001085</v>
      </c>
      <c r="C538" s="16">
        <f t="shared" si="16"/>
        <v>19.494933211680262</v>
      </c>
      <c r="D538" s="17" t="str">
        <f t="shared" si="17"/>
        <v>~18K</v>
      </c>
    </row>
    <row r="539" spans="1:4" x14ac:dyDescent="0.25">
      <c r="A539" s="14">
        <v>15.86</v>
      </c>
      <c r="B539" s="15">
        <f>((1/A539)-(1/Konstanta!$B$5))/((1/Konstanta!$B$4)-(1/Konstanta!$B$5))</f>
        <v>0.81294131079214416</v>
      </c>
      <c r="C539" s="16">
        <f t="shared" si="16"/>
        <v>19.510591459011458</v>
      </c>
      <c r="D539" s="17" t="str">
        <f t="shared" si="17"/>
        <v>~18K</v>
      </c>
    </row>
    <row r="540" spans="1:4" x14ac:dyDescent="0.25">
      <c r="A540" s="14">
        <v>15.87</v>
      </c>
      <c r="B540" s="15">
        <f>((1/A540)-(1/Konstanta!$B$5))/((1/Konstanta!$B$4)-(1/Konstanta!$B$5))</f>
        <v>0.81359291555007185</v>
      </c>
      <c r="C540" s="16">
        <f t="shared" si="16"/>
        <v>19.526229973201723</v>
      </c>
      <c r="D540" s="17" t="str">
        <f t="shared" si="17"/>
        <v>~18K</v>
      </c>
    </row>
    <row r="541" spans="1:4" x14ac:dyDescent="0.25">
      <c r="A541" s="14">
        <v>15.88</v>
      </c>
      <c r="B541" s="15">
        <f>((1/A541)-(1/Konstanta!$B$5))/((1/Konstanta!$B$4)-(1/Konstanta!$B$5))</f>
        <v>0.81424369964709564</v>
      </c>
      <c r="C541" s="16">
        <f t="shared" si="16"/>
        <v>19.541848791530295</v>
      </c>
      <c r="D541" s="17" t="str">
        <f t="shared" si="17"/>
        <v>~18K</v>
      </c>
    </row>
    <row r="542" spans="1:4" x14ac:dyDescent="0.25">
      <c r="A542" s="14">
        <v>15.89</v>
      </c>
      <c r="B542" s="15">
        <f>((1/A542)-(1/Konstanta!$B$5))/((1/Konstanta!$B$4)-(1/Konstanta!$B$5))</f>
        <v>0.81489366463260648</v>
      </c>
      <c r="C542" s="16">
        <f t="shared" si="16"/>
        <v>19.557447951182557</v>
      </c>
      <c r="D542" s="17" t="str">
        <f t="shared" si="17"/>
        <v>~18K</v>
      </c>
    </row>
    <row r="543" spans="1:4" x14ac:dyDescent="0.25">
      <c r="A543" s="14">
        <v>15.9</v>
      </c>
      <c r="B543" s="15">
        <f>((1/A543)-(1/Konstanta!$B$5))/((1/Konstanta!$B$4)-(1/Konstanta!$B$5))</f>
        <v>0.81554281205209755</v>
      </c>
      <c r="C543" s="16">
        <f t="shared" si="16"/>
        <v>19.573027489250343</v>
      </c>
      <c r="D543" s="17" t="str">
        <f t="shared" si="17"/>
        <v>~18K</v>
      </c>
    </row>
    <row r="544" spans="1:4" x14ac:dyDescent="0.25">
      <c r="A544" s="14">
        <v>15.91</v>
      </c>
      <c r="B544" s="15">
        <f>((1/A544)-(1/Konstanta!$B$5))/((1/Konstanta!$B$4)-(1/Konstanta!$B$5))</f>
        <v>0.81619114344717703</v>
      </c>
      <c r="C544" s="16">
        <f t="shared" si="16"/>
        <v>19.588587442732248</v>
      </c>
      <c r="D544" s="17" t="str">
        <f t="shared" si="17"/>
        <v>~18K</v>
      </c>
    </row>
    <row r="545" spans="1:4" x14ac:dyDescent="0.25">
      <c r="A545" s="14">
        <v>15.92</v>
      </c>
      <c r="B545" s="15">
        <f>((1/A545)-(1/Konstanta!$B$5))/((1/Konstanta!$B$4)-(1/Konstanta!$B$5))</f>
        <v>0.81683866035557939</v>
      </c>
      <c r="C545" s="16">
        <f t="shared" si="16"/>
        <v>19.604127848533906</v>
      </c>
      <c r="D545" s="17" t="str">
        <f t="shared" si="17"/>
        <v>~18K</v>
      </c>
    </row>
    <row r="546" spans="1:4" x14ac:dyDescent="0.25">
      <c r="A546" s="14">
        <v>15.93</v>
      </c>
      <c r="B546" s="15">
        <f>((1/A546)-(1/Konstanta!$B$5))/((1/Konstanta!$B$4)-(1/Konstanta!$B$5))</f>
        <v>0.81748536431117746</v>
      </c>
      <c r="C546" s="16">
        <f t="shared" si="16"/>
        <v>19.619648743468261</v>
      </c>
      <c r="D546" s="17" t="str">
        <f t="shared" si="17"/>
        <v>~18K</v>
      </c>
    </row>
    <row r="547" spans="1:4" x14ac:dyDescent="0.25">
      <c r="A547" s="14">
        <v>15.94</v>
      </c>
      <c r="B547" s="15">
        <f>((1/A547)-(1/Konstanta!$B$5))/((1/Konstanta!$B$4)-(1/Konstanta!$B$5))</f>
        <v>0.81813125684399579</v>
      </c>
      <c r="C547" s="16">
        <f t="shared" si="16"/>
        <v>19.635150164255897</v>
      </c>
      <c r="D547" s="17" t="str">
        <f t="shared" si="17"/>
        <v>~18K</v>
      </c>
    </row>
    <row r="548" spans="1:4" x14ac:dyDescent="0.25">
      <c r="A548" s="14">
        <v>15.95</v>
      </c>
      <c r="B548" s="15">
        <f>((1/A548)-(1/Konstanta!$B$5))/((1/Konstanta!$B$4)-(1/Konstanta!$B$5))</f>
        <v>0.8187763394802211</v>
      </c>
      <c r="C548" s="16">
        <f t="shared" si="16"/>
        <v>19.650632147525307</v>
      </c>
      <c r="D548" s="17" t="str">
        <f t="shared" si="17"/>
        <v>~18K</v>
      </c>
    </row>
    <row r="549" spans="1:4" x14ac:dyDescent="0.25">
      <c r="A549" s="14">
        <v>15.96</v>
      </c>
      <c r="B549" s="15">
        <f>((1/A549)-(1/Konstanta!$B$5))/((1/Konstanta!$B$4)-(1/Konstanta!$B$5))</f>
        <v>0.81942061374221586</v>
      </c>
      <c r="C549" s="16">
        <f t="shared" si="16"/>
        <v>19.666094729813182</v>
      </c>
      <c r="D549" s="17" t="str">
        <f t="shared" si="17"/>
        <v>~18K</v>
      </c>
    </row>
    <row r="550" spans="1:4" x14ac:dyDescent="0.25">
      <c r="A550" s="14">
        <v>15.97</v>
      </c>
      <c r="B550" s="15">
        <f>((1/A550)-(1/Konstanta!$B$5))/((1/Konstanta!$B$4)-(1/Konstanta!$B$5))</f>
        <v>0.82006408114852858</v>
      </c>
      <c r="C550" s="16">
        <f t="shared" si="16"/>
        <v>19.681537947564685</v>
      </c>
      <c r="D550" s="17" t="str">
        <f t="shared" si="17"/>
        <v>~18K</v>
      </c>
    </row>
    <row r="551" spans="1:4" x14ac:dyDescent="0.25">
      <c r="A551" s="14">
        <v>15.98</v>
      </c>
      <c r="B551" s="15">
        <f>((1/A551)-(1/Konstanta!$B$5))/((1/Konstanta!$B$4)-(1/Konstanta!$B$5))</f>
        <v>0.82070674321390713</v>
      </c>
      <c r="C551" s="16">
        <f t="shared" si="16"/>
        <v>19.69696183713377</v>
      </c>
      <c r="D551" s="17" t="str">
        <f t="shared" si="17"/>
        <v>~18K</v>
      </c>
    </row>
    <row r="552" spans="1:4" x14ac:dyDescent="0.25">
      <c r="A552" s="14">
        <v>15.99</v>
      </c>
      <c r="B552" s="15">
        <f>((1/A552)-(1/Konstanta!$B$5))/((1/Konstanta!$B$4)-(1/Konstanta!$B$5))</f>
        <v>0.82134860144931043</v>
      </c>
      <c r="C552" s="16">
        <f t="shared" si="16"/>
        <v>19.712366434783451</v>
      </c>
      <c r="D552" s="17" t="str">
        <f t="shared" si="17"/>
        <v>~18K</v>
      </c>
    </row>
    <row r="553" spans="1:4" x14ac:dyDescent="0.25">
      <c r="A553" s="14">
        <v>16</v>
      </c>
      <c r="B553" s="15">
        <f>((1/A553)-(1/Konstanta!$B$5))/((1/Konstanta!$B$4)-(1/Konstanta!$B$5))</f>
        <v>0.82198965736191931</v>
      </c>
      <c r="C553" s="16">
        <f t="shared" si="16"/>
        <v>19.727751776686063</v>
      </c>
      <c r="D553" s="17" t="str">
        <f t="shared" si="17"/>
        <v>~18K</v>
      </c>
    </row>
    <row r="554" spans="1:4" x14ac:dyDescent="0.25">
      <c r="A554" s="14">
        <v>16.010000000000002</v>
      </c>
      <c r="B554" s="15">
        <f>((1/A554)-(1/Konstanta!$B$5))/((1/Konstanta!$B$4)-(1/Konstanta!$B$5))</f>
        <v>0.82262991245514971</v>
      </c>
      <c r="C554" s="16">
        <f t="shared" si="16"/>
        <v>19.743117898923593</v>
      </c>
      <c r="D554" s="17" t="str">
        <f t="shared" si="17"/>
        <v>~18K</v>
      </c>
    </row>
    <row r="555" spans="1:4" x14ac:dyDescent="0.25">
      <c r="A555" s="14">
        <v>16.02</v>
      </c>
      <c r="B555" s="15">
        <f>((1/A555)-(1/Konstanta!$B$5))/((1/Konstanta!$B$4)-(1/Konstanta!$B$5))</f>
        <v>0.82326936822866292</v>
      </c>
      <c r="C555" s="16">
        <f t="shared" si="16"/>
        <v>19.75846483748791</v>
      </c>
      <c r="D555" s="17" t="str">
        <f t="shared" si="17"/>
        <v>~18K</v>
      </c>
    </row>
    <row r="556" spans="1:4" x14ac:dyDescent="0.25">
      <c r="A556" s="14">
        <v>16.03</v>
      </c>
      <c r="B556" s="15">
        <f>((1/A556)-(1/Konstanta!$B$5))/((1/Konstanta!$B$4)-(1/Konstanta!$B$5))</f>
        <v>0.8239080261783791</v>
      </c>
      <c r="C556" s="16">
        <f t="shared" si="16"/>
        <v>19.7737926282811</v>
      </c>
      <c r="D556" s="17" t="str">
        <f t="shared" si="17"/>
        <v>~18K</v>
      </c>
    </row>
    <row r="557" spans="1:4" x14ac:dyDescent="0.25">
      <c r="A557" s="14">
        <v>16.04</v>
      </c>
      <c r="B557" s="15">
        <f>((1/A557)-(1/Konstanta!$B$5))/((1/Konstanta!$B$4)-(1/Konstanta!$B$5))</f>
        <v>0.82454588779648696</v>
      </c>
      <c r="C557" s="16">
        <f t="shared" si="16"/>
        <v>19.789101307115686</v>
      </c>
      <c r="D557" s="17" t="str">
        <f t="shared" si="17"/>
        <v>~18K</v>
      </c>
    </row>
    <row r="558" spans="1:4" x14ac:dyDescent="0.25">
      <c r="A558" s="14">
        <v>16.05</v>
      </c>
      <c r="B558" s="15">
        <f>((1/A558)-(1/Konstanta!$B$5))/((1/Konstanta!$B$4)-(1/Konstanta!$B$5))</f>
        <v>0.82518295457145718</v>
      </c>
      <c r="C558" s="16">
        <f t="shared" si="16"/>
        <v>19.804390909714972</v>
      </c>
      <c r="D558" s="17" t="str">
        <f t="shared" si="17"/>
        <v>~18K</v>
      </c>
    </row>
    <row r="559" spans="1:4" x14ac:dyDescent="0.25">
      <c r="A559" s="14">
        <v>16.059999999999999</v>
      </c>
      <c r="B559" s="15">
        <f>((1/A559)-(1/Konstanta!$B$5))/((1/Konstanta!$B$4)-(1/Konstanta!$B$5))</f>
        <v>0.82581922798805241</v>
      </c>
      <c r="C559" s="16">
        <f t="shared" si="16"/>
        <v>19.819661471713257</v>
      </c>
      <c r="D559" s="17" t="str">
        <f t="shared" si="17"/>
        <v>~18K</v>
      </c>
    </row>
    <row r="560" spans="1:4" x14ac:dyDescent="0.25">
      <c r="A560" s="14">
        <v>16.07</v>
      </c>
      <c r="B560" s="15">
        <f>((1/A560)-(1/Konstanta!$B$5))/((1/Konstanta!$B$4)-(1/Konstanta!$B$5))</f>
        <v>0.82645470952734035</v>
      </c>
      <c r="C560" s="16">
        <f t="shared" si="16"/>
        <v>19.834913028656167</v>
      </c>
      <c r="D560" s="17" t="str">
        <f t="shared" si="17"/>
        <v>~18K</v>
      </c>
    </row>
    <row r="561" spans="1:4" x14ac:dyDescent="0.25">
      <c r="A561" s="14">
        <v>16.079999999999998</v>
      </c>
      <c r="B561" s="15">
        <f>((1/A561)-(1/Konstanta!$B$5))/((1/Konstanta!$B$4)-(1/Konstanta!$B$5))</f>
        <v>0.82708940066670356</v>
      </c>
      <c r="C561" s="16">
        <f t="shared" si="16"/>
        <v>19.850145616000887</v>
      </c>
      <c r="D561" s="17" t="str">
        <f t="shared" si="17"/>
        <v>~18K</v>
      </c>
    </row>
    <row r="562" spans="1:4" x14ac:dyDescent="0.25">
      <c r="A562" s="14">
        <v>16.09</v>
      </c>
      <c r="B562" s="15">
        <f>((1/A562)-(1/Konstanta!$B$5))/((1/Konstanta!$B$4)-(1/Konstanta!$B$5))</f>
        <v>0.82772330287985274</v>
      </c>
      <c r="C562" s="16">
        <f t="shared" si="16"/>
        <v>19.865359269116468</v>
      </c>
      <c r="D562" s="17" t="str">
        <f t="shared" si="17"/>
        <v>~18K</v>
      </c>
    </row>
    <row r="563" spans="1:4" x14ac:dyDescent="0.25">
      <c r="A563" s="14">
        <v>16.100000000000001</v>
      </c>
      <c r="B563" s="15">
        <f>((1/A563)-(1/Konstanta!$B$5))/((1/Konstanta!$B$4)-(1/Konstanta!$B$5))</f>
        <v>0.82835641763683654</v>
      </c>
      <c r="C563" s="16">
        <f t="shared" si="16"/>
        <v>19.880554023284077</v>
      </c>
      <c r="D563" s="17" t="str">
        <f t="shared" si="17"/>
        <v>~18K</v>
      </c>
    </row>
    <row r="564" spans="1:4" x14ac:dyDescent="0.25">
      <c r="A564" s="14">
        <v>16.11</v>
      </c>
      <c r="B564" s="15">
        <f>((1/A564)-(1/Konstanta!$B$5))/((1/Konstanta!$B$4)-(1/Konstanta!$B$5))</f>
        <v>0.82898874640405351</v>
      </c>
      <c r="C564" s="16">
        <f t="shared" si="16"/>
        <v>19.895729913697284</v>
      </c>
      <c r="D564" s="17" t="str">
        <f t="shared" si="17"/>
        <v>~18K</v>
      </c>
    </row>
    <row r="565" spans="1:4" x14ac:dyDescent="0.25">
      <c r="A565" s="14">
        <v>16.12</v>
      </c>
      <c r="B565" s="15">
        <f>((1/A565)-(1/Konstanta!$B$5))/((1/Konstanta!$B$4)-(1/Konstanta!$B$5))</f>
        <v>0.82962029064426424</v>
      </c>
      <c r="C565" s="16">
        <f t="shared" si="16"/>
        <v>19.91088697546234</v>
      </c>
      <c r="D565" s="17" t="str">
        <f t="shared" si="17"/>
        <v>~18K</v>
      </c>
    </row>
    <row r="566" spans="1:4" x14ac:dyDescent="0.25">
      <c r="A566" s="14">
        <v>16.13</v>
      </c>
      <c r="B566" s="15">
        <f>((1/A566)-(1/Konstanta!$B$5))/((1/Konstanta!$B$4)-(1/Konstanta!$B$5))</f>
        <v>0.83025105181660086</v>
      </c>
      <c r="C566" s="16">
        <f t="shared" si="16"/>
        <v>19.926025243598421</v>
      </c>
      <c r="D566" s="17" t="str">
        <f t="shared" si="17"/>
        <v>~18K</v>
      </c>
    </row>
    <row r="567" spans="1:4" x14ac:dyDescent="0.25">
      <c r="A567" s="14">
        <v>16.14</v>
      </c>
      <c r="B567" s="15">
        <f>((1/A567)-(1/Konstanta!$B$5))/((1/Konstanta!$B$4)-(1/Konstanta!$B$5))</f>
        <v>0.83088103137658065</v>
      </c>
      <c r="C567" s="16">
        <f t="shared" si="16"/>
        <v>19.941144753037936</v>
      </c>
      <c r="D567" s="17" t="str">
        <f t="shared" si="17"/>
        <v>~18K</v>
      </c>
    </row>
    <row r="568" spans="1:4" x14ac:dyDescent="0.25">
      <c r="A568" s="14">
        <v>16.149999999999999</v>
      </c>
      <c r="B568" s="15">
        <f>((1/A568)-(1/Konstanta!$B$5))/((1/Konstanta!$B$4)-(1/Konstanta!$B$5))</f>
        <v>0.83151023077611419</v>
      </c>
      <c r="C568" s="16">
        <f t="shared" si="16"/>
        <v>19.956245538626739</v>
      </c>
      <c r="D568" s="17" t="str">
        <f t="shared" si="17"/>
        <v>~18K</v>
      </c>
    </row>
    <row r="569" spans="1:4" x14ac:dyDescent="0.25">
      <c r="A569" s="14">
        <v>16.16</v>
      </c>
      <c r="B569" s="15">
        <f>((1/A569)-(1/Konstanta!$B$5))/((1/Konstanta!$B$4)-(1/Konstanta!$B$5))</f>
        <v>0.83213865146351995</v>
      </c>
      <c r="C569" s="16">
        <f t="shared" si="16"/>
        <v>19.971327635124478</v>
      </c>
      <c r="D569" s="17" t="str">
        <f t="shared" si="17"/>
        <v>~18K</v>
      </c>
    </row>
    <row r="570" spans="1:4" x14ac:dyDescent="0.25">
      <c r="A570" s="14">
        <v>16.170000000000002</v>
      </c>
      <c r="B570" s="15">
        <f>((1/A570)-(1/Konstanta!$B$5))/((1/Konstanta!$B$4)-(1/Konstanta!$B$5))</f>
        <v>0.83276629488353238</v>
      </c>
      <c r="C570" s="16">
        <f t="shared" si="16"/>
        <v>19.986391077204779</v>
      </c>
      <c r="D570" s="17" t="str">
        <f t="shared" si="17"/>
        <v>~18K</v>
      </c>
    </row>
    <row r="571" spans="1:4" x14ac:dyDescent="0.25">
      <c r="A571" s="14">
        <v>16.18</v>
      </c>
      <c r="B571" s="15">
        <f>((1/A571)-(1/Konstanta!$B$5))/((1/Konstanta!$B$4)-(1/Konstanta!$B$5))</f>
        <v>0.83339316247731476</v>
      </c>
      <c r="C571" s="16">
        <f t="shared" si="16"/>
        <v>20.001435899455554</v>
      </c>
      <c r="D571" s="17" t="str">
        <f t="shared" si="17"/>
        <v>~18K</v>
      </c>
    </row>
    <row r="572" spans="1:4" x14ac:dyDescent="0.25">
      <c r="A572" s="14">
        <v>16.190000000000001</v>
      </c>
      <c r="B572" s="15">
        <f>((1/A572)-(1/Konstanta!$B$5))/((1/Konstanta!$B$4)-(1/Konstanta!$B$5))</f>
        <v>0.83401925568247004</v>
      </c>
      <c r="C572" s="16">
        <f t="shared" si="16"/>
        <v>20.016462136379282</v>
      </c>
      <c r="D572" s="17" t="str">
        <f t="shared" si="17"/>
        <v>~18K</v>
      </c>
    </row>
    <row r="573" spans="1:4" x14ac:dyDescent="0.25">
      <c r="A573" s="14">
        <v>16.2</v>
      </c>
      <c r="B573" s="15">
        <f>((1/A573)-(1/Konstanta!$B$5))/((1/Konstanta!$B$4)-(1/Konstanta!$B$5))</f>
        <v>0.83464457593305086</v>
      </c>
      <c r="C573" s="16">
        <f t="shared" si="16"/>
        <v>20.03146982239322</v>
      </c>
      <c r="D573" s="17" t="str">
        <f t="shared" si="17"/>
        <v>~18K</v>
      </c>
    </row>
    <row r="574" spans="1:4" x14ac:dyDescent="0.25">
      <c r="A574" s="14">
        <v>16.21</v>
      </c>
      <c r="B574" s="15">
        <f>((1/A574)-(1/Konstanta!$B$5))/((1/Konstanta!$B$4)-(1/Konstanta!$B$5))</f>
        <v>0.83526912465957193</v>
      </c>
      <c r="C574" s="16">
        <f t="shared" si="16"/>
        <v>20.046458991829727</v>
      </c>
      <c r="D574" s="17" t="str">
        <f t="shared" si="17"/>
        <v>~18K</v>
      </c>
    </row>
    <row r="575" spans="1:4" x14ac:dyDescent="0.25">
      <c r="A575" s="14">
        <v>16.22</v>
      </c>
      <c r="B575" s="15">
        <f>((1/A575)-(1/Konstanta!$B$5))/((1/Konstanta!$B$4)-(1/Konstanta!$B$5))</f>
        <v>0.83589290328901944</v>
      </c>
      <c r="C575" s="16">
        <f t="shared" si="16"/>
        <v>20.061429678936467</v>
      </c>
      <c r="D575" s="17" t="str">
        <f t="shared" si="17"/>
        <v>~18K</v>
      </c>
    </row>
    <row r="576" spans="1:4" x14ac:dyDescent="0.25">
      <c r="A576" s="14">
        <v>16.23</v>
      </c>
      <c r="B576" s="15">
        <f>((1/A576)-(1/Konstanta!$B$5))/((1/Konstanta!$B$4)-(1/Konstanta!$B$5))</f>
        <v>0.83651591324486341</v>
      </c>
      <c r="C576" s="16">
        <f t="shared" si="16"/>
        <v>20.076381917876724</v>
      </c>
      <c r="D576" s="17" t="str">
        <f t="shared" si="17"/>
        <v>~18K</v>
      </c>
    </row>
    <row r="577" spans="1:4" x14ac:dyDescent="0.25">
      <c r="A577" s="14">
        <v>16.239999999999998</v>
      </c>
      <c r="B577" s="15">
        <f>((1/A577)-(1/Konstanta!$B$5))/((1/Konstanta!$B$4)-(1/Konstanta!$B$5))</f>
        <v>0.83713815594706686</v>
      </c>
      <c r="C577" s="16">
        <f t="shared" si="16"/>
        <v>20.091315742729606</v>
      </c>
      <c r="D577" s="17" t="str">
        <f t="shared" si="17"/>
        <v>~18K</v>
      </c>
    </row>
    <row r="578" spans="1:4" x14ac:dyDescent="0.25">
      <c r="A578" s="14">
        <v>16.25</v>
      </c>
      <c r="B578" s="15">
        <f>((1/A578)-(1/Konstanta!$B$5))/((1/Konstanta!$B$4)-(1/Konstanta!$B$5))</f>
        <v>0.83775963281209864</v>
      </c>
      <c r="C578" s="16">
        <f t="shared" si="16"/>
        <v>20.106231187490366</v>
      </c>
      <c r="D578" s="17" t="str">
        <f t="shared" si="17"/>
        <v>~18K</v>
      </c>
    </row>
    <row r="579" spans="1:4" x14ac:dyDescent="0.25">
      <c r="A579" s="14">
        <v>16.260000000000002</v>
      </c>
      <c r="B579" s="15">
        <f>((1/A579)-(1/Konstanta!$B$5))/((1/Konstanta!$B$4)-(1/Konstanta!$B$5))</f>
        <v>0.83838034525294225</v>
      </c>
      <c r="C579" s="16">
        <f t="shared" si="16"/>
        <v>20.121128286070615</v>
      </c>
      <c r="D579" s="17" t="str">
        <f t="shared" si="17"/>
        <v>~18K</v>
      </c>
    </row>
    <row r="580" spans="1:4" x14ac:dyDescent="0.25">
      <c r="A580" s="14">
        <v>16.27</v>
      </c>
      <c r="B580" s="15">
        <f>((1/A580)-(1/Konstanta!$B$5))/((1/Konstanta!$B$4)-(1/Konstanta!$B$5))</f>
        <v>0.83900029467910731</v>
      </c>
      <c r="C580" s="16">
        <f t="shared" ref="C580:C643" si="18">B580*24</f>
        <v>20.136007072298575</v>
      </c>
      <c r="D580" s="17" t="str">
        <f t="shared" ref="D580:D643" si="19">IF(ROUND(C580,0)=24,"24K (murni)",IF(ROUND(C580,0)&gt;=22,"~22K",IF(ROUND(C580,0)&gt;=18,"~18K",IF(ROUND(C580,0)&gt;=14,"~14K","&lt;14K"))))</f>
        <v>~18K</v>
      </c>
    </row>
    <row r="581" spans="1:4" x14ac:dyDescent="0.25">
      <c r="A581" s="14">
        <v>16.28</v>
      </c>
      <c r="B581" s="15">
        <f>((1/A581)-(1/Konstanta!$B$5))/((1/Konstanta!$B$4)-(1/Konstanta!$B$5))</f>
        <v>0.83961948249664087</v>
      </c>
      <c r="C581" s="16">
        <f t="shared" si="18"/>
        <v>20.150867579919382</v>
      </c>
      <c r="D581" s="17" t="str">
        <f t="shared" si="19"/>
        <v>~18K</v>
      </c>
    </row>
    <row r="582" spans="1:4" x14ac:dyDescent="0.25">
      <c r="A582" s="14">
        <v>16.29</v>
      </c>
      <c r="B582" s="15">
        <f>((1/A582)-(1/Konstanta!$B$5))/((1/Konstanta!$B$4)-(1/Konstanta!$B$5))</f>
        <v>0.84023791010813664</v>
      </c>
      <c r="C582" s="16">
        <f t="shared" si="18"/>
        <v>20.16570984259528</v>
      </c>
      <c r="D582" s="17" t="str">
        <f t="shared" si="19"/>
        <v>~18K</v>
      </c>
    </row>
    <row r="583" spans="1:4" x14ac:dyDescent="0.25">
      <c r="A583" s="14">
        <v>16.3</v>
      </c>
      <c r="B583" s="15">
        <f>((1/A583)-(1/Konstanta!$B$5))/((1/Konstanta!$B$4)-(1/Konstanta!$B$5))</f>
        <v>0.84085557891274743</v>
      </c>
      <c r="C583" s="16">
        <f t="shared" si="18"/>
        <v>20.180533893905938</v>
      </c>
      <c r="D583" s="17" t="str">
        <f t="shared" si="19"/>
        <v>~18K</v>
      </c>
    </row>
    <row r="584" spans="1:4" x14ac:dyDescent="0.25">
      <c r="A584" s="14">
        <v>16.309999999999999</v>
      </c>
      <c r="B584" s="15">
        <f>((1/A584)-(1/Konstanta!$B$5))/((1/Konstanta!$B$4)-(1/Konstanta!$B$5))</f>
        <v>0.84147249030619364</v>
      </c>
      <c r="C584" s="16">
        <f t="shared" si="18"/>
        <v>20.195339767348649</v>
      </c>
      <c r="D584" s="17" t="str">
        <f t="shared" si="19"/>
        <v>~18K</v>
      </c>
    </row>
    <row r="585" spans="1:4" x14ac:dyDescent="0.25">
      <c r="A585" s="14">
        <v>16.32</v>
      </c>
      <c r="B585" s="15">
        <f>((1/A585)-(1/Konstanta!$B$5))/((1/Konstanta!$B$4)-(1/Konstanta!$B$5))</f>
        <v>0.84208864568077546</v>
      </c>
      <c r="C585" s="16">
        <f t="shared" si="18"/>
        <v>20.210127496338611</v>
      </c>
      <c r="D585" s="17" t="str">
        <f t="shared" si="19"/>
        <v>~18K</v>
      </c>
    </row>
    <row r="586" spans="1:4" x14ac:dyDescent="0.25">
      <c r="A586" s="14">
        <v>16.329999999999998</v>
      </c>
      <c r="B586" s="15">
        <f>((1/A586)-(1/Konstanta!$B$5))/((1/Konstanta!$B$4)-(1/Konstanta!$B$5))</f>
        <v>0.84270404642538199</v>
      </c>
      <c r="C586" s="16">
        <f t="shared" si="18"/>
        <v>20.224897114209167</v>
      </c>
      <c r="D586" s="17" t="str">
        <f t="shared" si="19"/>
        <v>~18K</v>
      </c>
    </row>
    <row r="587" spans="1:4" x14ac:dyDescent="0.25">
      <c r="A587" s="14">
        <v>16.34</v>
      </c>
      <c r="B587" s="15">
        <f>((1/A587)-(1/Konstanta!$B$5))/((1/Konstanta!$B$4)-(1/Konstanta!$B$5))</f>
        <v>0.8433186939255034</v>
      </c>
      <c r="C587" s="16">
        <f t="shared" si="18"/>
        <v>20.239648654212083</v>
      </c>
      <c r="D587" s="17" t="str">
        <f t="shared" si="19"/>
        <v>~18K</v>
      </c>
    </row>
    <row r="588" spans="1:4" x14ac:dyDescent="0.25">
      <c r="A588" s="14">
        <v>16.350000000000001</v>
      </c>
      <c r="B588" s="15">
        <f>((1/A588)-(1/Konstanta!$B$5))/((1/Konstanta!$B$4)-(1/Konstanta!$B$5))</f>
        <v>0.84393258956323935</v>
      </c>
      <c r="C588" s="16">
        <f t="shared" si="18"/>
        <v>20.254382149517745</v>
      </c>
      <c r="D588" s="17" t="str">
        <f t="shared" si="19"/>
        <v>~18K</v>
      </c>
    </row>
    <row r="589" spans="1:4" x14ac:dyDescent="0.25">
      <c r="A589" s="14">
        <v>16.36</v>
      </c>
      <c r="B589" s="15">
        <f>((1/A589)-(1/Konstanta!$B$5))/((1/Konstanta!$B$4)-(1/Konstanta!$B$5))</f>
        <v>0.84454573471731031</v>
      </c>
      <c r="C589" s="16">
        <f t="shared" si="18"/>
        <v>20.269097633215448</v>
      </c>
      <c r="D589" s="17" t="str">
        <f t="shared" si="19"/>
        <v>~18K</v>
      </c>
    </row>
    <row r="590" spans="1:4" x14ac:dyDescent="0.25">
      <c r="A590" s="14">
        <v>16.37</v>
      </c>
      <c r="B590" s="15">
        <f>((1/A590)-(1/Konstanta!$B$5))/((1/Konstanta!$B$4)-(1/Konstanta!$B$5))</f>
        <v>0.84515813076306867</v>
      </c>
      <c r="C590" s="16">
        <f t="shared" si="18"/>
        <v>20.28379513831365</v>
      </c>
      <c r="D590" s="17" t="str">
        <f t="shared" si="19"/>
        <v>~18K</v>
      </c>
    </row>
    <row r="591" spans="1:4" x14ac:dyDescent="0.25">
      <c r="A591" s="14">
        <v>16.38</v>
      </c>
      <c r="B591" s="15">
        <f>((1/A591)-(1/Konstanta!$B$5))/((1/Konstanta!$B$4)-(1/Konstanta!$B$5))</f>
        <v>0.84576977907250717</v>
      </c>
      <c r="C591" s="16">
        <f t="shared" si="18"/>
        <v>20.298474697740172</v>
      </c>
      <c r="D591" s="17" t="str">
        <f t="shared" si="19"/>
        <v>~18K</v>
      </c>
    </row>
    <row r="592" spans="1:4" x14ac:dyDescent="0.25">
      <c r="A592" s="14">
        <v>16.39</v>
      </c>
      <c r="B592" s="15">
        <f>((1/A592)-(1/Konstanta!$B$5))/((1/Konstanta!$B$4)-(1/Konstanta!$B$5))</f>
        <v>0.84638068101427122</v>
      </c>
      <c r="C592" s="16">
        <f t="shared" si="18"/>
        <v>20.31313634434251</v>
      </c>
      <c r="D592" s="17" t="str">
        <f t="shared" si="19"/>
        <v>~18K</v>
      </c>
    </row>
    <row r="593" spans="1:4" x14ac:dyDescent="0.25">
      <c r="A593" s="14">
        <v>16.399999999999999</v>
      </c>
      <c r="B593" s="15">
        <f>((1/A593)-(1/Konstanta!$B$5))/((1/Konstanta!$B$4)-(1/Konstanta!$B$5))</f>
        <v>0.84699083795366703</v>
      </c>
      <c r="C593" s="16">
        <f t="shared" si="18"/>
        <v>20.327780110888007</v>
      </c>
      <c r="D593" s="17" t="str">
        <f t="shared" si="19"/>
        <v>~18K</v>
      </c>
    </row>
    <row r="594" spans="1:4" x14ac:dyDescent="0.25">
      <c r="A594" s="14">
        <v>16.41</v>
      </c>
      <c r="B594" s="15">
        <f>((1/A594)-(1/Konstanta!$B$5))/((1/Konstanta!$B$4)-(1/Konstanta!$B$5))</f>
        <v>0.8476002512526738</v>
      </c>
      <c r="C594" s="16">
        <f t="shared" si="18"/>
        <v>20.342406030064172</v>
      </c>
      <c r="D594" s="17" t="str">
        <f t="shared" si="19"/>
        <v>~18K</v>
      </c>
    </row>
    <row r="595" spans="1:4" x14ac:dyDescent="0.25">
      <c r="A595" s="14">
        <v>16.420000000000002</v>
      </c>
      <c r="B595" s="15">
        <f>((1/A595)-(1/Konstanta!$B$5))/((1/Konstanta!$B$4)-(1/Konstanta!$B$5))</f>
        <v>0.84820892226995215</v>
      </c>
      <c r="C595" s="16">
        <f t="shared" si="18"/>
        <v>20.357014134478852</v>
      </c>
      <c r="D595" s="17" t="str">
        <f t="shared" si="19"/>
        <v>~18K</v>
      </c>
    </row>
    <row r="596" spans="1:4" x14ac:dyDescent="0.25">
      <c r="A596" s="14">
        <v>16.43</v>
      </c>
      <c r="B596" s="15">
        <f>((1/A596)-(1/Konstanta!$B$5))/((1/Konstanta!$B$4)-(1/Konstanta!$B$5))</f>
        <v>0.84881685236085502</v>
      </c>
      <c r="C596" s="16">
        <f t="shared" si="18"/>
        <v>20.371604456660521</v>
      </c>
      <c r="D596" s="17" t="str">
        <f t="shared" si="19"/>
        <v>~18K</v>
      </c>
    </row>
    <row r="597" spans="1:4" x14ac:dyDescent="0.25">
      <c r="A597" s="14">
        <v>16.440000000000001</v>
      </c>
      <c r="B597" s="15">
        <f>((1/A597)-(1/Konstanta!$B$5))/((1/Konstanta!$B$4)-(1/Konstanta!$B$5))</f>
        <v>0.84942404287743833</v>
      </c>
      <c r="C597" s="16">
        <f t="shared" si="18"/>
        <v>20.386177029058519</v>
      </c>
      <c r="D597" s="17" t="str">
        <f t="shared" si="19"/>
        <v>~18K</v>
      </c>
    </row>
    <row r="598" spans="1:4" x14ac:dyDescent="0.25">
      <c r="A598" s="14">
        <v>16.45</v>
      </c>
      <c r="B598" s="15">
        <f>((1/A598)-(1/Konstanta!$B$5))/((1/Konstanta!$B$4)-(1/Konstanta!$B$5))</f>
        <v>0.85003049516846929</v>
      </c>
      <c r="C598" s="16">
        <f t="shared" si="18"/>
        <v>20.400731884043264</v>
      </c>
      <c r="D598" s="17" t="str">
        <f t="shared" si="19"/>
        <v>~18K</v>
      </c>
    </row>
    <row r="599" spans="1:4" x14ac:dyDescent="0.25">
      <c r="A599" s="14">
        <v>16.46</v>
      </c>
      <c r="B599" s="15">
        <f>((1/A599)-(1/Konstanta!$B$5))/((1/Konstanta!$B$4)-(1/Konstanta!$B$5))</f>
        <v>0.85063621057943839</v>
      </c>
      <c r="C599" s="16">
        <f t="shared" si="18"/>
        <v>20.41526905390652</v>
      </c>
      <c r="D599" s="17" t="str">
        <f t="shared" si="19"/>
        <v>~18K</v>
      </c>
    </row>
    <row r="600" spans="1:4" x14ac:dyDescent="0.25">
      <c r="A600" s="14">
        <v>16.47</v>
      </c>
      <c r="B600" s="15">
        <f>((1/A600)-(1/Konstanta!$B$5))/((1/Konstanta!$B$4)-(1/Konstanta!$B$5))</f>
        <v>0.85124119045256774</v>
      </c>
      <c r="C600" s="16">
        <f t="shared" si="18"/>
        <v>20.429788570861625</v>
      </c>
      <c r="D600" s="17" t="str">
        <f t="shared" si="19"/>
        <v>~18K</v>
      </c>
    </row>
    <row r="601" spans="1:4" x14ac:dyDescent="0.25">
      <c r="A601" s="14">
        <v>16.48</v>
      </c>
      <c r="B601" s="15">
        <f>((1/A601)-(1/Konstanta!$B$5))/((1/Konstanta!$B$4)-(1/Konstanta!$B$5))</f>
        <v>0.85184543612682206</v>
      </c>
      <c r="C601" s="16">
        <f t="shared" si="18"/>
        <v>20.444290467043729</v>
      </c>
      <c r="D601" s="17" t="str">
        <f t="shared" si="19"/>
        <v>~18K</v>
      </c>
    </row>
    <row r="602" spans="1:4" x14ac:dyDescent="0.25">
      <c r="A602" s="14">
        <v>16.489999999999998</v>
      </c>
      <c r="B602" s="15">
        <f>((1/A602)-(1/Konstanta!$B$5))/((1/Konstanta!$B$4)-(1/Konstanta!$B$5))</f>
        <v>0.85244894893791756</v>
      </c>
      <c r="C602" s="16">
        <f t="shared" si="18"/>
        <v>20.458774774510022</v>
      </c>
      <c r="D602" s="17" t="str">
        <f t="shared" si="19"/>
        <v>~18K</v>
      </c>
    </row>
    <row r="603" spans="1:4" x14ac:dyDescent="0.25">
      <c r="A603" s="14">
        <v>16.5</v>
      </c>
      <c r="B603" s="15">
        <f>((1/A603)-(1/Konstanta!$B$5))/((1/Konstanta!$B$4)-(1/Konstanta!$B$5))</f>
        <v>0.85305173021833325</v>
      </c>
      <c r="C603" s="16">
        <f t="shared" si="18"/>
        <v>20.473241525239999</v>
      </c>
      <c r="D603" s="17" t="str">
        <f t="shared" si="19"/>
        <v>~18K</v>
      </c>
    </row>
    <row r="604" spans="1:4" x14ac:dyDescent="0.25">
      <c r="A604" s="14">
        <v>16.510000000000002</v>
      </c>
      <c r="B604" s="15">
        <f>((1/A604)-(1/Konstanta!$B$5))/((1/Konstanta!$B$4)-(1/Konstanta!$B$5))</f>
        <v>0.85365378129731895</v>
      </c>
      <c r="C604" s="16">
        <f t="shared" si="18"/>
        <v>20.487690751135656</v>
      </c>
      <c r="D604" s="17" t="str">
        <f t="shared" si="19"/>
        <v>~18K</v>
      </c>
    </row>
    <row r="605" spans="1:4" x14ac:dyDescent="0.25">
      <c r="A605" s="14">
        <v>16.52</v>
      </c>
      <c r="B605" s="15">
        <f>((1/A605)-(1/Konstanta!$B$5))/((1/Konstanta!$B$4)-(1/Konstanta!$B$5))</f>
        <v>0.85425510350090617</v>
      </c>
      <c r="C605" s="16">
        <f t="shared" si="18"/>
        <v>20.502122484021747</v>
      </c>
      <c r="D605" s="17" t="str">
        <f t="shared" si="19"/>
        <v>~18K</v>
      </c>
    </row>
    <row r="606" spans="1:4" x14ac:dyDescent="0.25">
      <c r="A606" s="14">
        <v>16.53</v>
      </c>
      <c r="B606" s="15">
        <f>((1/A606)-(1/Konstanta!$B$5))/((1/Konstanta!$B$4)-(1/Konstanta!$B$5))</f>
        <v>0.85485569815191809</v>
      </c>
      <c r="C606" s="16">
        <f t="shared" si="18"/>
        <v>20.516536755646033</v>
      </c>
      <c r="D606" s="17" t="str">
        <f t="shared" si="19"/>
        <v>~18K</v>
      </c>
    </row>
    <row r="607" spans="1:4" x14ac:dyDescent="0.25">
      <c r="A607" s="14">
        <v>16.54</v>
      </c>
      <c r="B607" s="15">
        <f>((1/A607)-(1/Konstanta!$B$5))/((1/Konstanta!$B$4)-(1/Konstanta!$B$5))</f>
        <v>0.85545556656997834</v>
      </c>
      <c r="C607" s="16">
        <f t="shared" si="18"/>
        <v>20.530933597679478</v>
      </c>
      <c r="D607" s="17" t="str">
        <f t="shared" si="19"/>
        <v>~18K</v>
      </c>
    </row>
    <row r="608" spans="1:4" x14ac:dyDescent="0.25">
      <c r="A608" s="14">
        <v>16.55</v>
      </c>
      <c r="B608" s="15">
        <f>((1/A608)-(1/Konstanta!$B$5))/((1/Konstanta!$B$4)-(1/Konstanta!$B$5))</f>
        <v>0.85605471007152134</v>
      </c>
      <c r="C608" s="16">
        <f t="shared" si="18"/>
        <v>20.545313041716511</v>
      </c>
      <c r="D608" s="17" t="str">
        <f t="shared" si="19"/>
        <v>~18K</v>
      </c>
    </row>
    <row r="609" spans="1:4" x14ac:dyDescent="0.25">
      <c r="A609" s="14">
        <v>16.559999999999999</v>
      </c>
      <c r="B609" s="15">
        <f>((1/A609)-(1/Konstanta!$B$5))/((1/Konstanta!$B$4)-(1/Konstanta!$B$5))</f>
        <v>0.85665312996980147</v>
      </c>
      <c r="C609" s="16">
        <f t="shared" si="18"/>
        <v>20.559675119275234</v>
      </c>
      <c r="D609" s="17" t="str">
        <f t="shared" si="19"/>
        <v>~18K</v>
      </c>
    </row>
    <row r="610" spans="1:4" x14ac:dyDescent="0.25">
      <c r="A610" s="14">
        <v>16.57</v>
      </c>
      <c r="B610" s="15">
        <f>((1/A610)-(1/Konstanta!$B$5))/((1/Konstanta!$B$4)-(1/Konstanta!$B$5))</f>
        <v>0.85725082757490345</v>
      </c>
      <c r="C610" s="16">
        <f t="shared" si="18"/>
        <v>20.574019861797684</v>
      </c>
      <c r="D610" s="17" t="str">
        <f t="shared" si="19"/>
        <v>~18K</v>
      </c>
    </row>
    <row r="611" spans="1:4" x14ac:dyDescent="0.25">
      <c r="A611" s="14">
        <v>16.579999999999998</v>
      </c>
      <c r="B611" s="15">
        <f>((1/A611)-(1/Konstanta!$B$5))/((1/Konstanta!$B$4)-(1/Konstanta!$B$5))</f>
        <v>0.85784780419375051</v>
      </c>
      <c r="C611" s="16">
        <f t="shared" si="18"/>
        <v>20.588347300650014</v>
      </c>
      <c r="D611" s="17" t="str">
        <f t="shared" si="19"/>
        <v>~18K</v>
      </c>
    </row>
    <row r="612" spans="1:4" x14ac:dyDescent="0.25">
      <c r="A612" s="14">
        <v>16.59</v>
      </c>
      <c r="B612" s="15">
        <f>((1/A612)-(1/Konstanta!$B$5))/((1/Konstanta!$B$4)-(1/Konstanta!$B$5))</f>
        <v>0.85844406113011573</v>
      </c>
      <c r="C612" s="16">
        <f t="shared" si="18"/>
        <v>20.602657467122778</v>
      </c>
      <c r="D612" s="17" t="str">
        <f t="shared" si="19"/>
        <v>~18K</v>
      </c>
    </row>
    <row r="613" spans="1:4" x14ac:dyDescent="0.25">
      <c r="A613" s="14">
        <v>16.600000000000001</v>
      </c>
      <c r="B613" s="15">
        <f>((1/A613)-(1/Konstanta!$B$5))/((1/Konstanta!$B$4)-(1/Konstanta!$B$5))</f>
        <v>0.85903959968463006</v>
      </c>
      <c r="C613" s="16">
        <f t="shared" si="18"/>
        <v>20.616950392431121</v>
      </c>
      <c r="D613" s="17" t="str">
        <f t="shared" si="19"/>
        <v>~18K</v>
      </c>
    </row>
    <row r="614" spans="1:4" x14ac:dyDescent="0.25">
      <c r="A614" s="14">
        <v>16.61</v>
      </c>
      <c r="B614" s="15">
        <f>((1/A614)-(1/Konstanta!$B$5))/((1/Konstanta!$B$4)-(1/Konstanta!$B$5))</f>
        <v>0.85963442115479183</v>
      </c>
      <c r="C614" s="16">
        <f t="shared" si="18"/>
        <v>20.631226107715005</v>
      </c>
      <c r="D614" s="17" t="str">
        <f t="shared" si="19"/>
        <v>~18K</v>
      </c>
    </row>
    <row r="615" spans="1:4" x14ac:dyDescent="0.25">
      <c r="A615" s="14">
        <v>16.62</v>
      </c>
      <c r="B615" s="15">
        <f>((1/A615)-(1/Konstanta!$B$5))/((1/Konstanta!$B$4)-(1/Konstanta!$B$5))</f>
        <v>0.86022852683497775</v>
      </c>
      <c r="C615" s="16">
        <f t="shared" si="18"/>
        <v>20.645484644039467</v>
      </c>
      <c r="D615" s="17" t="str">
        <f t="shared" si="19"/>
        <v>~18K</v>
      </c>
    </row>
    <row r="616" spans="1:4" x14ac:dyDescent="0.25">
      <c r="A616" s="14">
        <v>16.63</v>
      </c>
      <c r="B616" s="15">
        <f>((1/A616)-(1/Konstanta!$B$5))/((1/Konstanta!$B$4)-(1/Konstanta!$B$5))</f>
        <v>0.86082191801645003</v>
      </c>
      <c r="C616" s="16">
        <f t="shared" si="18"/>
        <v>20.659726032394801</v>
      </c>
      <c r="D616" s="17" t="str">
        <f t="shared" si="19"/>
        <v>~18K</v>
      </c>
    </row>
    <row r="617" spans="1:4" x14ac:dyDescent="0.25">
      <c r="A617" s="14">
        <v>16.64</v>
      </c>
      <c r="B617" s="15">
        <f>((1/A617)-(1/Konstanta!$B$5))/((1/Konstanta!$B$4)-(1/Konstanta!$B$5))</f>
        <v>0.86141459598736791</v>
      </c>
      <c r="C617" s="16">
        <f t="shared" si="18"/>
        <v>20.673950303696831</v>
      </c>
      <c r="D617" s="17" t="str">
        <f t="shared" si="19"/>
        <v>~18K</v>
      </c>
    </row>
    <row r="618" spans="1:4" x14ac:dyDescent="0.25">
      <c r="A618" s="14">
        <v>16.649999999999999</v>
      </c>
      <c r="B618" s="15">
        <f>((1/A618)-(1/Konstanta!$B$5))/((1/Konstanta!$B$4)-(1/Konstanta!$B$5))</f>
        <v>0.86200656203279491</v>
      </c>
      <c r="C618" s="16">
        <f t="shared" si="18"/>
        <v>20.688157488787077</v>
      </c>
      <c r="D618" s="17" t="str">
        <f t="shared" si="19"/>
        <v>~18K</v>
      </c>
    </row>
    <row r="619" spans="1:4" x14ac:dyDescent="0.25">
      <c r="A619" s="14">
        <v>16.66</v>
      </c>
      <c r="B619" s="15">
        <f>((1/A619)-(1/Konstanta!$B$5))/((1/Konstanta!$B$4)-(1/Konstanta!$B$5))</f>
        <v>0.8625978174347102</v>
      </c>
      <c r="C619" s="16">
        <f t="shared" si="18"/>
        <v>20.702347618433045</v>
      </c>
      <c r="D619" s="17" t="str">
        <f t="shared" si="19"/>
        <v>~18K</v>
      </c>
    </row>
    <row r="620" spans="1:4" x14ac:dyDescent="0.25">
      <c r="A620" s="14">
        <v>16.670000000000002</v>
      </c>
      <c r="B620" s="15">
        <f>((1/A620)-(1/Konstanta!$B$5))/((1/Konstanta!$B$4)-(1/Konstanta!$B$5))</f>
        <v>0.86318836347201622</v>
      </c>
      <c r="C620" s="16">
        <f t="shared" si="18"/>
        <v>20.71652072332839</v>
      </c>
      <c r="D620" s="17" t="str">
        <f t="shared" si="19"/>
        <v>~18K</v>
      </c>
    </row>
    <row r="621" spans="1:4" x14ac:dyDescent="0.25">
      <c r="A621" s="14">
        <v>16.68</v>
      </c>
      <c r="B621" s="15">
        <f>((1/A621)-(1/Konstanta!$B$5))/((1/Konstanta!$B$4)-(1/Konstanta!$B$5))</f>
        <v>0.86377820142054818</v>
      </c>
      <c r="C621" s="16">
        <f t="shared" si="18"/>
        <v>20.730676834093156</v>
      </c>
      <c r="D621" s="17" t="str">
        <f t="shared" si="19"/>
        <v>~18K</v>
      </c>
    </row>
    <row r="622" spans="1:4" x14ac:dyDescent="0.25">
      <c r="A622" s="14">
        <v>16.690000000000001</v>
      </c>
      <c r="B622" s="15">
        <f>((1/A622)-(1/Konstanta!$B$5))/((1/Konstanta!$B$4)-(1/Konstanta!$B$5))</f>
        <v>0.86436733255308462</v>
      </c>
      <c r="C622" s="16">
        <f t="shared" si="18"/>
        <v>20.74481598127403</v>
      </c>
      <c r="D622" s="17" t="str">
        <f t="shared" si="19"/>
        <v>~18K</v>
      </c>
    </row>
    <row r="623" spans="1:4" x14ac:dyDescent="0.25">
      <c r="A623" s="14">
        <v>16.7</v>
      </c>
      <c r="B623" s="15">
        <f>((1/A623)-(1/Konstanta!$B$5))/((1/Konstanta!$B$4)-(1/Konstanta!$B$5))</f>
        <v>0.86495575813935421</v>
      </c>
      <c r="C623" s="16">
        <f t="shared" si="18"/>
        <v>20.758938195344502</v>
      </c>
      <c r="D623" s="17" t="str">
        <f t="shared" si="19"/>
        <v>~18K</v>
      </c>
    </row>
    <row r="624" spans="1:4" x14ac:dyDescent="0.25">
      <c r="A624" s="14">
        <v>16.71</v>
      </c>
      <c r="B624" s="15">
        <f>((1/A624)-(1/Konstanta!$B$5))/((1/Konstanta!$B$4)-(1/Konstanta!$B$5))</f>
        <v>0.86554347944604737</v>
      </c>
      <c r="C624" s="16">
        <f t="shared" si="18"/>
        <v>20.773043506705136</v>
      </c>
      <c r="D624" s="17" t="str">
        <f t="shared" si="19"/>
        <v>~18K</v>
      </c>
    </row>
    <row r="625" spans="1:4" x14ac:dyDescent="0.25">
      <c r="A625" s="14">
        <v>16.72</v>
      </c>
      <c r="B625" s="15">
        <f>((1/A625)-(1/Konstanta!$B$5))/((1/Konstanta!$B$4)-(1/Konstanta!$B$5))</f>
        <v>0.86613049773682327</v>
      </c>
      <c r="C625" s="16">
        <f t="shared" si="18"/>
        <v>20.787131945683758</v>
      </c>
      <c r="D625" s="17" t="str">
        <f t="shared" si="19"/>
        <v>~18K</v>
      </c>
    </row>
    <row r="626" spans="1:4" x14ac:dyDescent="0.25">
      <c r="A626" s="14">
        <v>16.73</v>
      </c>
      <c r="B626" s="15">
        <f>((1/A626)-(1/Konstanta!$B$5))/((1/Konstanta!$B$4)-(1/Konstanta!$B$5))</f>
        <v>0.86671681427232061</v>
      </c>
      <c r="C626" s="16">
        <f t="shared" si="18"/>
        <v>20.801203542535696</v>
      </c>
      <c r="D626" s="17" t="str">
        <f t="shared" si="19"/>
        <v>~18K</v>
      </c>
    </row>
    <row r="627" spans="1:4" x14ac:dyDescent="0.25">
      <c r="A627" s="14">
        <v>16.739999999999998</v>
      </c>
      <c r="B627" s="15">
        <f>((1/A627)-(1/Konstanta!$B$5))/((1/Konstanta!$B$4)-(1/Konstanta!$B$5))</f>
        <v>0.86730243031016463</v>
      </c>
      <c r="C627" s="16">
        <f t="shared" si="18"/>
        <v>20.815258327443949</v>
      </c>
      <c r="D627" s="17" t="str">
        <f t="shared" si="19"/>
        <v>~18K</v>
      </c>
    </row>
    <row r="628" spans="1:4" x14ac:dyDescent="0.25">
      <c r="A628" s="14">
        <v>16.75</v>
      </c>
      <c r="B628" s="15">
        <f>((1/A628)-(1/Konstanta!$B$5))/((1/Konstanta!$B$4)-(1/Konstanta!$B$5))</f>
        <v>0.86788734710497883</v>
      </c>
      <c r="C628" s="16">
        <f t="shared" si="18"/>
        <v>20.82929633051949</v>
      </c>
      <c r="D628" s="17" t="str">
        <f t="shared" si="19"/>
        <v>~18K</v>
      </c>
    </row>
    <row r="629" spans="1:4" x14ac:dyDescent="0.25">
      <c r="A629" s="14">
        <v>16.760000000000002</v>
      </c>
      <c r="B629" s="15">
        <f>((1/A629)-(1/Konstanta!$B$5))/((1/Konstanta!$B$4)-(1/Konstanta!$B$5))</f>
        <v>0.86847156590839092</v>
      </c>
      <c r="C629" s="16">
        <f t="shared" si="18"/>
        <v>20.843317581801383</v>
      </c>
      <c r="D629" s="17" t="str">
        <f t="shared" si="19"/>
        <v>~18K</v>
      </c>
    </row>
    <row r="630" spans="1:4" x14ac:dyDescent="0.25">
      <c r="A630" s="14">
        <v>16.77</v>
      </c>
      <c r="B630" s="15">
        <f>((1/A630)-(1/Konstanta!$B$5))/((1/Konstanta!$B$4)-(1/Konstanta!$B$5))</f>
        <v>0.86905508796904385</v>
      </c>
      <c r="C630" s="16">
        <f t="shared" si="18"/>
        <v>20.857322111257051</v>
      </c>
      <c r="D630" s="17" t="str">
        <f t="shared" si="19"/>
        <v>~18K</v>
      </c>
    </row>
    <row r="631" spans="1:4" x14ac:dyDescent="0.25">
      <c r="A631" s="14">
        <v>16.78</v>
      </c>
      <c r="B631" s="15">
        <f>((1/A631)-(1/Konstanta!$B$5))/((1/Konstanta!$B$4)-(1/Konstanta!$B$5))</f>
        <v>0.86963791453260442</v>
      </c>
      <c r="C631" s="16">
        <f t="shared" si="18"/>
        <v>20.871309948782507</v>
      </c>
      <c r="D631" s="17" t="str">
        <f t="shared" si="19"/>
        <v>~18K</v>
      </c>
    </row>
    <row r="632" spans="1:4" x14ac:dyDescent="0.25">
      <c r="A632" s="14">
        <v>16.79</v>
      </c>
      <c r="B632" s="15">
        <f>((1/A632)-(1/Konstanta!$B$5))/((1/Konstanta!$B$4)-(1/Konstanta!$B$5))</f>
        <v>0.87022004684177101</v>
      </c>
      <c r="C632" s="16">
        <f t="shared" si="18"/>
        <v>20.885281124202503</v>
      </c>
      <c r="D632" s="17" t="str">
        <f t="shared" si="19"/>
        <v>~18K</v>
      </c>
    </row>
    <row r="633" spans="1:4" x14ac:dyDescent="0.25">
      <c r="A633" s="14">
        <v>16.8</v>
      </c>
      <c r="B633" s="15">
        <f>((1/A633)-(1/Konstanta!$B$5))/((1/Konstanta!$B$4)-(1/Konstanta!$B$5))</f>
        <v>0.87080148613628416</v>
      </c>
      <c r="C633" s="16">
        <f t="shared" si="18"/>
        <v>20.899235667270819</v>
      </c>
      <c r="D633" s="17" t="str">
        <f t="shared" si="19"/>
        <v>~18K</v>
      </c>
    </row>
    <row r="634" spans="1:4" x14ac:dyDescent="0.25">
      <c r="A634" s="14">
        <v>16.809999999999999</v>
      </c>
      <c r="B634" s="15">
        <f>((1/A634)-(1/Konstanta!$B$5))/((1/Konstanta!$B$4)-(1/Konstanta!$B$5))</f>
        <v>0.87138223365293332</v>
      </c>
      <c r="C634" s="16">
        <f t="shared" si="18"/>
        <v>20.913173607670402</v>
      </c>
      <c r="D634" s="17" t="str">
        <f t="shared" si="19"/>
        <v>~18K</v>
      </c>
    </row>
    <row r="635" spans="1:4" x14ac:dyDescent="0.25">
      <c r="A635" s="14">
        <v>16.82</v>
      </c>
      <c r="B635" s="15">
        <f>((1/A635)-(1/Konstanta!$B$5))/((1/Konstanta!$B$4)-(1/Konstanta!$B$5))</f>
        <v>0.87196229062556752</v>
      </c>
      <c r="C635" s="16">
        <f t="shared" si="18"/>
        <v>20.92709497501362</v>
      </c>
      <c r="D635" s="17" t="str">
        <f t="shared" si="19"/>
        <v>~18K</v>
      </c>
    </row>
    <row r="636" spans="1:4" x14ac:dyDescent="0.25">
      <c r="A636" s="14">
        <v>16.829999999999998</v>
      </c>
      <c r="B636" s="15">
        <f>((1/A636)-(1/Konstanta!$B$5))/((1/Konstanta!$B$4)-(1/Konstanta!$B$5))</f>
        <v>0.87254165828510277</v>
      </c>
      <c r="C636" s="16">
        <f t="shared" si="18"/>
        <v>20.940999798842466</v>
      </c>
      <c r="D636" s="17" t="str">
        <f t="shared" si="19"/>
        <v>~18K</v>
      </c>
    </row>
    <row r="637" spans="1:4" x14ac:dyDescent="0.25">
      <c r="A637" s="14">
        <v>16.84</v>
      </c>
      <c r="B637" s="15">
        <f>((1/A637)-(1/Konstanta!$B$5))/((1/Konstanta!$B$4)-(1/Konstanta!$B$5))</f>
        <v>0.8731203378595318</v>
      </c>
      <c r="C637" s="16">
        <f t="shared" si="18"/>
        <v>20.954888108628765</v>
      </c>
      <c r="D637" s="17" t="str">
        <f t="shared" si="19"/>
        <v>~18K</v>
      </c>
    </row>
    <row r="638" spans="1:4" x14ac:dyDescent="0.25">
      <c r="A638" s="14">
        <v>16.850000000000001</v>
      </c>
      <c r="B638" s="15">
        <f>((1/A638)-(1/Konstanta!$B$5))/((1/Konstanta!$B$4)-(1/Konstanta!$B$5))</f>
        <v>0.87369833057393198</v>
      </c>
      <c r="C638" s="16">
        <f t="shared" si="18"/>
        <v>20.968759933774368</v>
      </c>
      <c r="D638" s="17" t="str">
        <f t="shared" si="19"/>
        <v>~18K</v>
      </c>
    </row>
    <row r="639" spans="1:4" x14ac:dyDescent="0.25">
      <c r="A639" s="14">
        <v>16.86</v>
      </c>
      <c r="B639" s="15">
        <f>((1/A639)-(1/Konstanta!$B$5))/((1/Konstanta!$B$4)-(1/Konstanta!$B$5))</f>
        <v>0.87427563765047378</v>
      </c>
      <c r="C639" s="16">
        <f t="shared" si="18"/>
        <v>20.982615303611372</v>
      </c>
      <c r="D639" s="17" t="str">
        <f t="shared" si="19"/>
        <v>~18K</v>
      </c>
    </row>
    <row r="640" spans="1:4" x14ac:dyDescent="0.25">
      <c r="A640" s="14">
        <v>16.87</v>
      </c>
      <c r="B640" s="15">
        <f>((1/A640)-(1/Konstanta!$B$5))/((1/Konstanta!$B$4)-(1/Konstanta!$B$5))</f>
        <v>0.87485226030843066</v>
      </c>
      <c r="C640" s="16">
        <f t="shared" si="18"/>
        <v>20.996454247402337</v>
      </c>
      <c r="D640" s="17" t="str">
        <f t="shared" si="19"/>
        <v>~18K</v>
      </c>
    </row>
    <row r="641" spans="1:4" x14ac:dyDescent="0.25">
      <c r="A641" s="14">
        <v>16.88</v>
      </c>
      <c r="B641" s="15">
        <f>((1/A641)-(1/Konstanta!$B$5))/((1/Konstanta!$B$4)-(1/Konstanta!$B$5))</f>
        <v>0.87542819976418595</v>
      </c>
      <c r="C641" s="16">
        <f t="shared" si="18"/>
        <v>21.010276794340463</v>
      </c>
      <c r="D641" s="17" t="str">
        <f t="shared" si="19"/>
        <v>~18K</v>
      </c>
    </row>
    <row r="642" spans="1:4" x14ac:dyDescent="0.25">
      <c r="A642" s="14">
        <v>16.89</v>
      </c>
      <c r="B642" s="15">
        <f>((1/A642)-(1/Konstanta!$B$5))/((1/Konstanta!$B$4)-(1/Konstanta!$B$5))</f>
        <v>0.87600345723124307</v>
      </c>
      <c r="C642" s="16">
        <f t="shared" si="18"/>
        <v>21.024082973549834</v>
      </c>
      <c r="D642" s="17" t="str">
        <f t="shared" si="19"/>
        <v>~18K</v>
      </c>
    </row>
    <row r="643" spans="1:4" x14ac:dyDescent="0.25">
      <c r="A643" s="14">
        <v>16.899999999999999</v>
      </c>
      <c r="B643" s="15">
        <f>((1/A643)-(1/Konstanta!$B$5))/((1/Konstanta!$B$4)-(1/Konstanta!$B$5))</f>
        <v>0.87657803392023259</v>
      </c>
      <c r="C643" s="16">
        <f t="shared" si="18"/>
        <v>21.037872814085581</v>
      </c>
      <c r="D643" s="17" t="str">
        <f t="shared" si="19"/>
        <v>~18K</v>
      </c>
    </row>
    <row r="644" spans="1:4" x14ac:dyDescent="0.25">
      <c r="A644" s="14">
        <v>16.91</v>
      </c>
      <c r="B644" s="15">
        <f>((1/A644)-(1/Konstanta!$B$5))/((1/Konstanta!$B$4)-(1/Konstanta!$B$5))</f>
        <v>0.87715193103892186</v>
      </c>
      <c r="C644" s="16">
        <f t="shared" ref="C644:C707" si="20">B644*24</f>
        <v>21.051646344934124</v>
      </c>
      <c r="D644" s="17" t="str">
        <f t="shared" ref="D644:D707" si="21">IF(ROUND(C644,0)=24,"24K (murni)",IF(ROUND(C644,0)&gt;=22,"~22K",IF(ROUND(C644,0)&gt;=18,"~18K",IF(ROUND(C644,0)&gt;=14,"~14K","&lt;14K"))))</f>
        <v>~18K</v>
      </c>
    </row>
    <row r="645" spans="1:4" x14ac:dyDescent="0.25">
      <c r="A645" s="14">
        <v>16.920000000000002</v>
      </c>
      <c r="B645" s="15">
        <f>((1/A645)-(1/Konstanta!$B$5))/((1/Konstanta!$B$4)-(1/Konstanta!$B$5))</f>
        <v>0.87772514979222249</v>
      </c>
      <c r="C645" s="16">
        <f t="shared" si="20"/>
        <v>21.06540359501334</v>
      </c>
      <c r="D645" s="17" t="str">
        <f t="shared" si="21"/>
        <v>~18K</v>
      </c>
    </row>
    <row r="646" spans="1:4" x14ac:dyDescent="0.25">
      <c r="A646" s="14">
        <v>16.93</v>
      </c>
      <c r="B646" s="15">
        <f>((1/A646)-(1/Konstanta!$B$5))/((1/Konstanta!$B$4)-(1/Konstanta!$B$5))</f>
        <v>0.87829769138219949</v>
      </c>
      <c r="C646" s="16">
        <f t="shared" si="20"/>
        <v>21.079144593172789</v>
      </c>
      <c r="D646" s="17" t="str">
        <f t="shared" si="21"/>
        <v>~18K</v>
      </c>
    </row>
    <row r="647" spans="1:4" x14ac:dyDescent="0.25">
      <c r="A647" s="14">
        <v>16.940000000000001</v>
      </c>
      <c r="B647" s="15">
        <f>((1/A647)-(1/Konstanta!$B$5))/((1/Konstanta!$B$4)-(1/Konstanta!$B$5))</f>
        <v>0.87886955700808</v>
      </c>
      <c r="C647" s="16">
        <f t="shared" si="20"/>
        <v>21.09286936819392</v>
      </c>
      <c r="D647" s="17" t="str">
        <f t="shared" si="21"/>
        <v>~18K</v>
      </c>
    </row>
    <row r="648" spans="1:4" x14ac:dyDescent="0.25">
      <c r="A648" s="14">
        <v>16.95</v>
      </c>
      <c r="B648" s="15">
        <f>((1/A648)-(1/Konstanta!$B$5))/((1/Konstanta!$B$4)-(1/Konstanta!$B$5))</f>
        <v>0.87944074786626025</v>
      </c>
      <c r="C648" s="16">
        <f t="shared" si="20"/>
        <v>21.106577948790246</v>
      </c>
      <c r="D648" s="17" t="str">
        <f t="shared" si="21"/>
        <v>~18K</v>
      </c>
    </row>
    <row r="649" spans="1:4" x14ac:dyDescent="0.25">
      <c r="A649" s="14">
        <v>16.96</v>
      </c>
      <c r="B649" s="15">
        <f>((1/A649)-(1/Konstanta!$B$5))/((1/Konstanta!$B$4)-(1/Konstanta!$B$5))</f>
        <v>0.88001126515031536</v>
      </c>
      <c r="C649" s="16">
        <f t="shared" si="20"/>
        <v>21.120270363607567</v>
      </c>
      <c r="D649" s="17" t="str">
        <f t="shared" si="21"/>
        <v>~18K</v>
      </c>
    </row>
    <row r="650" spans="1:4" x14ac:dyDescent="0.25">
      <c r="A650" s="14">
        <v>16.97</v>
      </c>
      <c r="B650" s="15">
        <f>((1/A650)-(1/Konstanta!$B$5))/((1/Konstanta!$B$4)-(1/Konstanta!$B$5))</f>
        <v>0.88058111005100648</v>
      </c>
      <c r="C650" s="16">
        <f t="shared" si="20"/>
        <v>21.133946641224156</v>
      </c>
      <c r="D650" s="17" t="str">
        <f t="shared" si="21"/>
        <v>~18K</v>
      </c>
    </row>
    <row r="651" spans="1:4" x14ac:dyDescent="0.25">
      <c r="A651" s="14">
        <v>16.98</v>
      </c>
      <c r="B651" s="15">
        <f>((1/A651)-(1/Konstanta!$B$5))/((1/Konstanta!$B$4)-(1/Konstanta!$B$5))</f>
        <v>0.8811502837562909</v>
      </c>
      <c r="C651" s="16">
        <f t="shared" si="20"/>
        <v>21.147606810150982</v>
      </c>
      <c r="D651" s="17" t="str">
        <f t="shared" si="21"/>
        <v>~18K</v>
      </c>
    </row>
    <row r="652" spans="1:4" x14ac:dyDescent="0.25">
      <c r="A652" s="14">
        <v>16.989999999999998</v>
      </c>
      <c r="B652" s="15">
        <f>((1/A652)-(1/Konstanta!$B$5))/((1/Konstanta!$B$4)-(1/Konstanta!$B$5))</f>
        <v>0.88171878745132737</v>
      </c>
      <c r="C652" s="16">
        <f t="shared" si="20"/>
        <v>21.161250898831856</v>
      </c>
      <c r="D652" s="17" t="str">
        <f t="shared" si="21"/>
        <v>~18K</v>
      </c>
    </row>
    <row r="653" spans="1:4" x14ac:dyDescent="0.25">
      <c r="A653" s="14">
        <v>17</v>
      </c>
      <c r="B653" s="15">
        <f>((1/A653)-(1/Konstanta!$B$5))/((1/Konstanta!$B$4)-(1/Konstanta!$B$5))</f>
        <v>0.88228662231848765</v>
      </c>
      <c r="C653" s="16">
        <f t="shared" si="20"/>
        <v>21.174878935643704</v>
      </c>
      <c r="D653" s="17" t="str">
        <f t="shared" si="21"/>
        <v>~18K</v>
      </c>
    </row>
    <row r="654" spans="1:4" x14ac:dyDescent="0.25">
      <c r="A654" s="14">
        <v>17.010000000000002</v>
      </c>
      <c r="B654" s="15">
        <f>((1/A654)-(1/Konstanta!$B$5))/((1/Konstanta!$B$4)-(1/Konstanta!$B$5))</f>
        <v>0.88285378953736204</v>
      </c>
      <c r="C654" s="16">
        <f t="shared" si="20"/>
        <v>21.188490948896689</v>
      </c>
      <c r="D654" s="17" t="str">
        <f t="shared" si="21"/>
        <v>~18K</v>
      </c>
    </row>
    <row r="655" spans="1:4" x14ac:dyDescent="0.25">
      <c r="A655" s="14">
        <v>17.02</v>
      </c>
      <c r="B655" s="15">
        <f>((1/A655)-(1/Konstanta!$B$5))/((1/Konstanta!$B$4)-(1/Konstanta!$B$5))</f>
        <v>0.88342029028476854</v>
      </c>
      <c r="C655" s="16">
        <f t="shared" si="20"/>
        <v>21.202086966834443</v>
      </c>
      <c r="D655" s="17" t="str">
        <f t="shared" si="21"/>
        <v>~18K</v>
      </c>
    </row>
    <row r="656" spans="1:4" x14ac:dyDescent="0.25">
      <c r="A656" s="14">
        <v>17.03</v>
      </c>
      <c r="B656" s="15">
        <f>((1/A656)-(1/Konstanta!$B$5))/((1/Konstanta!$B$4)-(1/Konstanta!$B$5))</f>
        <v>0.8839861257347621</v>
      </c>
      <c r="C656" s="16">
        <f t="shared" si="20"/>
        <v>21.215667017634289</v>
      </c>
      <c r="D656" s="17" t="str">
        <f t="shared" si="21"/>
        <v>~18K</v>
      </c>
    </row>
    <row r="657" spans="1:4" x14ac:dyDescent="0.25">
      <c r="A657" s="14">
        <v>17.04</v>
      </c>
      <c r="B657" s="15">
        <f>((1/A657)-(1/Konstanta!$B$5))/((1/Konstanta!$B$4)-(1/Konstanta!$B$5))</f>
        <v>0.88455129705864044</v>
      </c>
      <c r="C657" s="16">
        <f t="shared" si="20"/>
        <v>21.229231129407371</v>
      </c>
      <c r="D657" s="17" t="str">
        <f t="shared" si="21"/>
        <v>~18K</v>
      </c>
    </row>
    <row r="658" spans="1:4" x14ac:dyDescent="0.25">
      <c r="A658" s="14">
        <v>17.05</v>
      </c>
      <c r="B658" s="15">
        <f>((1/A658)-(1/Konstanta!$B$5))/((1/Konstanta!$B$4)-(1/Konstanta!$B$5))</f>
        <v>0.88511580542495427</v>
      </c>
      <c r="C658" s="16">
        <f t="shared" si="20"/>
        <v>21.242779330198903</v>
      </c>
      <c r="D658" s="17" t="str">
        <f t="shared" si="21"/>
        <v>~18K</v>
      </c>
    </row>
    <row r="659" spans="1:4" x14ac:dyDescent="0.25">
      <c r="A659" s="14">
        <v>17.059999999999999</v>
      </c>
      <c r="B659" s="15">
        <f>((1/A659)-(1/Konstanta!$B$5))/((1/Konstanta!$B$4)-(1/Konstanta!$B$5))</f>
        <v>0.8856796519995136</v>
      </c>
      <c r="C659" s="16">
        <f t="shared" si="20"/>
        <v>21.256311647988326</v>
      </c>
      <c r="D659" s="17" t="str">
        <f t="shared" si="21"/>
        <v>~18K</v>
      </c>
    </row>
    <row r="660" spans="1:4" x14ac:dyDescent="0.25">
      <c r="A660" s="14">
        <v>17.07</v>
      </c>
      <c r="B660" s="15">
        <f>((1/A660)-(1/Konstanta!$B$5))/((1/Konstanta!$B$4)-(1/Konstanta!$B$5))</f>
        <v>0.88624283794539782</v>
      </c>
      <c r="C660" s="16">
        <f t="shared" si="20"/>
        <v>21.269828110689549</v>
      </c>
      <c r="D660" s="17" t="str">
        <f t="shared" si="21"/>
        <v>~18K</v>
      </c>
    </row>
    <row r="661" spans="1:4" x14ac:dyDescent="0.25">
      <c r="A661" s="14">
        <v>17.079999999999998</v>
      </c>
      <c r="B661" s="15">
        <f>((1/A661)-(1/Konstanta!$B$5))/((1/Konstanta!$B$4)-(1/Konstanta!$B$5))</f>
        <v>0.8868053644229611</v>
      </c>
      <c r="C661" s="16">
        <f t="shared" si="20"/>
        <v>21.283328746151067</v>
      </c>
      <c r="D661" s="17" t="str">
        <f t="shared" si="21"/>
        <v>~18K</v>
      </c>
    </row>
    <row r="662" spans="1:4" x14ac:dyDescent="0.25">
      <c r="A662" s="14">
        <v>17.09</v>
      </c>
      <c r="B662" s="15">
        <f>((1/A662)-(1/Konstanta!$B$5))/((1/Konstanta!$B$4)-(1/Konstanta!$B$5))</f>
        <v>0.88736723258984274</v>
      </c>
      <c r="C662" s="16">
        <f t="shared" si="20"/>
        <v>21.296813582156226</v>
      </c>
      <c r="D662" s="17" t="str">
        <f t="shared" si="21"/>
        <v>~18K</v>
      </c>
    </row>
    <row r="663" spans="1:4" x14ac:dyDescent="0.25">
      <c r="A663" s="14">
        <v>17.100000000000001</v>
      </c>
      <c r="B663" s="15">
        <f>((1/A663)-(1/Konstanta!$B$5))/((1/Konstanta!$B$4)-(1/Konstanta!$B$5))</f>
        <v>0.88792844360097356</v>
      </c>
      <c r="C663" s="16">
        <f t="shared" si="20"/>
        <v>21.310282646423367</v>
      </c>
      <c r="D663" s="17" t="str">
        <f t="shared" si="21"/>
        <v>~18K</v>
      </c>
    </row>
    <row r="664" spans="1:4" x14ac:dyDescent="0.25">
      <c r="A664" s="14">
        <v>17.11</v>
      </c>
      <c r="B664" s="15">
        <f>((1/A664)-(1/Konstanta!$B$5))/((1/Konstanta!$B$4)-(1/Konstanta!$B$5))</f>
        <v>0.88848899860858466</v>
      </c>
      <c r="C664" s="16">
        <f t="shared" si="20"/>
        <v>21.32373596660603</v>
      </c>
      <c r="D664" s="17" t="str">
        <f t="shared" si="21"/>
        <v>~18K</v>
      </c>
    </row>
    <row r="665" spans="1:4" x14ac:dyDescent="0.25">
      <c r="A665" s="14">
        <v>17.12</v>
      </c>
      <c r="B665" s="15">
        <f>((1/A665)-(1/Konstanta!$B$5))/((1/Konstanta!$B$4)-(1/Konstanta!$B$5))</f>
        <v>0.88904889876221493</v>
      </c>
      <c r="C665" s="16">
        <f t="shared" si="20"/>
        <v>21.33717357029316</v>
      </c>
      <c r="D665" s="17" t="str">
        <f t="shared" si="21"/>
        <v>~18K</v>
      </c>
    </row>
    <row r="666" spans="1:4" x14ac:dyDescent="0.25">
      <c r="A666" s="14">
        <v>17.13</v>
      </c>
      <c r="B666" s="15">
        <f>((1/A666)-(1/Konstanta!$B$5))/((1/Konstanta!$B$4)-(1/Konstanta!$B$5))</f>
        <v>0.88960814520871889</v>
      </c>
      <c r="C666" s="16">
        <f t="shared" si="20"/>
        <v>21.350595485009254</v>
      </c>
      <c r="D666" s="17" t="str">
        <f t="shared" si="21"/>
        <v>~18K</v>
      </c>
    </row>
    <row r="667" spans="1:4" x14ac:dyDescent="0.25">
      <c r="A667" s="14">
        <v>17.14</v>
      </c>
      <c r="B667" s="15">
        <f>((1/A667)-(1/Konstanta!$B$5))/((1/Konstanta!$B$4)-(1/Konstanta!$B$5))</f>
        <v>0.89016673909227484</v>
      </c>
      <c r="C667" s="16">
        <f t="shared" si="20"/>
        <v>21.364001738214597</v>
      </c>
      <c r="D667" s="17" t="str">
        <f t="shared" si="21"/>
        <v>~18K</v>
      </c>
    </row>
    <row r="668" spans="1:4" x14ac:dyDescent="0.25">
      <c r="A668" s="14">
        <v>17.149999999999999</v>
      </c>
      <c r="B668" s="15">
        <f>((1/A668)-(1/Konstanta!$B$5))/((1/Konstanta!$B$4)-(1/Konstanta!$B$5))</f>
        <v>0.89072468155439211</v>
      </c>
      <c r="C668" s="16">
        <f t="shared" si="20"/>
        <v>21.377392357305411</v>
      </c>
      <c r="D668" s="17" t="str">
        <f t="shared" si="21"/>
        <v>~18K</v>
      </c>
    </row>
    <row r="669" spans="1:4" x14ac:dyDescent="0.25">
      <c r="A669" s="14">
        <v>17.16</v>
      </c>
      <c r="B669" s="15">
        <f>((1/A669)-(1/Konstanta!$B$5))/((1/Konstanta!$B$4)-(1/Konstanta!$B$5))</f>
        <v>0.89128197373391982</v>
      </c>
      <c r="C669" s="16">
        <f t="shared" si="20"/>
        <v>21.390767369614075</v>
      </c>
      <c r="D669" s="17" t="str">
        <f t="shared" si="21"/>
        <v>~18K</v>
      </c>
    </row>
    <row r="670" spans="1:4" x14ac:dyDescent="0.25">
      <c r="A670" s="14">
        <v>17.170000000000002</v>
      </c>
      <c r="B670" s="15">
        <f>((1/A670)-(1/Konstanta!$B$5))/((1/Konstanta!$B$4)-(1/Konstanta!$B$5))</f>
        <v>0.89183861676705301</v>
      </c>
      <c r="C670" s="16">
        <f t="shared" si="20"/>
        <v>21.404126802409273</v>
      </c>
      <c r="D670" s="17" t="str">
        <f t="shared" si="21"/>
        <v>~18K</v>
      </c>
    </row>
    <row r="671" spans="1:4" x14ac:dyDescent="0.25">
      <c r="A671" s="14">
        <v>17.18</v>
      </c>
      <c r="B671" s="15">
        <f>((1/A671)-(1/Konstanta!$B$5))/((1/Konstanta!$B$4)-(1/Konstanta!$B$5))</f>
        <v>0.89239461178734192</v>
      </c>
      <c r="C671" s="16">
        <f t="shared" si="20"/>
        <v>21.417470682896205</v>
      </c>
      <c r="D671" s="17" t="str">
        <f t="shared" si="21"/>
        <v>~18K</v>
      </c>
    </row>
    <row r="672" spans="1:4" x14ac:dyDescent="0.25">
      <c r="A672" s="14">
        <v>17.190000000000001</v>
      </c>
      <c r="B672" s="15">
        <f>((1/A672)-(1/Konstanta!$B$5))/((1/Konstanta!$B$4)-(1/Konstanta!$B$5))</f>
        <v>0.89294995992569937</v>
      </c>
      <c r="C672" s="16">
        <f t="shared" si="20"/>
        <v>21.430799038216783</v>
      </c>
      <c r="D672" s="17" t="str">
        <f t="shared" si="21"/>
        <v>~18K</v>
      </c>
    </row>
    <row r="673" spans="1:4" x14ac:dyDescent="0.25">
      <c r="A673" s="14">
        <v>17.2</v>
      </c>
      <c r="B673" s="15">
        <f>((1/A673)-(1/Konstanta!$B$5))/((1/Konstanta!$B$4)-(1/Konstanta!$B$5))</f>
        <v>0.89350466231040737</v>
      </c>
      <c r="C673" s="16">
        <f t="shared" si="20"/>
        <v>21.444111895449776</v>
      </c>
      <c r="D673" s="17" t="str">
        <f t="shared" si="21"/>
        <v>~18K</v>
      </c>
    </row>
    <row r="674" spans="1:4" x14ac:dyDescent="0.25">
      <c r="A674" s="14">
        <v>17.21</v>
      </c>
      <c r="B674" s="15">
        <f>((1/A674)-(1/Konstanta!$B$5))/((1/Konstanta!$B$4)-(1/Konstanta!$B$5))</f>
        <v>0.89405872006712628</v>
      </c>
      <c r="C674" s="16">
        <f t="shared" si="20"/>
        <v>21.457409281611032</v>
      </c>
      <c r="D674" s="17" t="str">
        <f t="shared" si="21"/>
        <v>~18K</v>
      </c>
    </row>
    <row r="675" spans="1:4" x14ac:dyDescent="0.25">
      <c r="A675" s="14">
        <v>17.22</v>
      </c>
      <c r="B675" s="15">
        <f>((1/A675)-(1/Konstanta!$B$5))/((1/Konstanta!$B$4)-(1/Konstanta!$B$5))</f>
        <v>0.89461213431890108</v>
      </c>
      <c r="C675" s="16">
        <f t="shared" si="20"/>
        <v>21.470691223653624</v>
      </c>
      <c r="D675" s="17" t="str">
        <f t="shared" si="21"/>
        <v>~18K</v>
      </c>
    </row>
    <row r="676" spans="1:4" x14ac:dyDescent="0.25">
      <c r="A676" s="14">
        <v>17.23</v>
      </c>
      <c r="B676" s="15">
        <f>((1/A676)-(1/Konstanta!$B$5))/((1/Konstanta!$B$4)-(1/Konstanta!$B$5))</f>
        <v>0.89516490618617028</v>
      </c>
      <c r="C676" s="16">
        <f t="shared" si="20"/>
        <v>21.483957748468086</v>
      </c>
      <c r="D676" s="17" t="str">
        <f t="shared" si="21"/>
        <v>~18K</v>
      </c>
    </row>
    <row r="677" spans="1:4" x14ac:dyDescent="0.25">
      <c r="A677" s="14">
        <v>17.239999999999998</v>
      </c>
      <c r="B677" s="15">
        <f>((1/A677)-(1/Konstanta!$B$5))/((1/Konstanta!$B$4)-(1/Konstanta!$B$5))</f>
        <v>0.89571703678677195</v>
      </c>
      <c r="C677" s="16">
        <f t="shared" si="20"/>
        <v>21.497208882882525</v>
      </c>
      <c r="D677" s="17" t="str">
        <f t="shared" si="21"/>
        <v>~18K</v>
      </c>
    </row>
    <row r="678" spans="1:4" x14ac:dyDescent="0.25">
      <c r="A678" s="14">
        <v>17.25</v>
      </c>
      <c r="B678" s="15">
        <f>((1/A678)-(1/Konstanta!$B$5))/((1/Konstanta!$B$4)-(1/Konstanta!$B$5))</f>
        <v>0.89626852723595274</v>
      </c>
      <c r="C678" s="16">
        <f t="shared" si="20"/>
        <v>21.510444653662866</v>
      </c>
      <c r="D678" s="17" t="str">
        <f t="shared" si="21"/>
        <v>~22K</v>
      </c>
    </row>
    <row r="679" spans="1:4" x14ac:dyDescent="0.25">
      <c r="A679" s="14">
        <v>17.260000000000002</v>
      </c>
      <c r="B679" s="15">
        <f>((1/A679)-(1/Konstanta!$B$5))/((1/Konstanta!$B$4)-(1/Konstanta!$B$5))</f>
        <v>0.8968193786463744</v>
      </c>
      <c r="C679" s="16">
        <f t="shared" si="20"/>
        <v>21.523665087512985</v>
      </c>
      <c r="D679" s="17" t="str">
        <f t="shared" si="21"/>
        <v>~22K</v>
      </c>
    </row>
    <row r="680" spans="1:4" x14ac:dyDescent="0.25">
      <c r="A680" s="14">
        <v>17.27</v>
      </c>
      <c r="B680" s="15">
        <f>((1/A680)-(1/Konstanta!$B$5))/((1/Konstanta!$B$4)-(1/Konstanta!$B$5))</f>
        <v>0.8973695921281214</v>
      </c>
      <c r="C680" s="16">
        <f t="shared" si="20"/>
        <v>21.536870211074913</v>
      </c>
      <c r="D680" s="17" t="str">
        <f t="shared" si="21"/>
        <v>~22K</v>
      </c>
    </row>
    <row r="681" spans="1:4" x14ac:dyDescent="0.25">
      <c r="A681" s="14">
        <v>17.28</v>
      </c>
      <c r="B681" s="15">
        <f>((1/A681)-(1/Konstanta!$B$5))/((1/Konstanta!$B$4)-(1/Konstanta!$B$5))</f>
        <v>0.89791916878870914</v>
      </c>
      <c r="C681" s="16">
        <f t="shared" si="20"/>
        <v>21.550060050929019</v>
      </c>
      <c r="D681" s="17" t="str">
        <f t="shared" si="21"/>
        <v>~22K</v>
      </c>
    </row>
    <row r="682" spans="1:4" x14ac:dyDescent="0.25">
      <c r="A682" s="14">
        <v>17.29</v>
      </c>
      <c r="B682" s="15">
        <f>((1/A682)-(1/Konstanta!$B$5))/((1/Konstanta!$B$4)-(1/Konstanta!$B$5))</f>
        <v>0.8984681097330901</v>
      </c>
      <c r="C682" s="16">
        <f t="shared" si="20"/>
        <v>21.563234633594163</v>
      </c>
      <c r="D682" s="17" t="str">
        <f t="shared" si="21"/>
        <v>~22K</v>
      </c>
    </row>
    <row r="683" spans="1:4" x14ac:dyDescent="0.25">
      <c r="A683" s="14">
        <v>17.3</v>
      </c>
      <c r="B683" s="15">
        <f>((1/A683)-(1/Konstanta!$B$5))/((1/Konstanta!$B$4)-(1/Konstanta!$B$5))</f>
        <v>0.89901641606366267</v>
      </c>
      <c r="C683" s="16">
        <f t="shared" si="20"/>
        <v>21.576393985527904</v>
      </c>
      <c r="D683" s="17" t="str">
        <f t="shared" si="21"/>
        <v>~22K</v>
      </c>
    </row>
    <row r="684" spans="1:4" x14ac:dyDescent="0.25">
      <c r="A684" s="14">
        <v>17.309999999999999</v>
      </c>
      <c r="B684" s="15">
        <f>((1/A684)-(1/Konstanta!$B$5))/((1/Konstanta!$B$4)-(1/Konstanta!$B$5))</f>
        <v>0.89956408888027728</v>
      </c>
      <c r="C684" s="16">
        <f t="shared" si="20"/>
        <v>21.589538133126656</v>
      </c>
      <c r="D684" s="17" t="str">
        <f t="shared" si="21"/>
        <v>~22K</v>
      </c>
    </row>
    <row r="685" spans="1:4" x14ac:dyDescent="0.25">
      <c r="A685" s="14">
        <v>17.32</v>
      </c>
      <c r="B685" s="15">
        <f>((1/A685)-(1/Konstanta!$B$5))/((1/Konstanta!$B$4)-(1/Konstanta!$B$5))</f>
        <v>0.90011112928024462</v>
      </c>
      <c r="C685" s="16">
        <f t="shared" si="20"/>
        <v>21.602667102725871</v>
      </c>
      <c r="D685" s="17" t="str">
        <f t="shared" si="21"/>
        <v>~22K</v>
      </c>
    </row>
    <row r="686" spans="1:4" x14ac:dyDescent="0.25">
      <c r="A686" s="14">
        <v>17.329999999999998</v>
      </c>
      <c r="B686" s="15">
        <f>((1/A686)-(1/Konstanta!$B$5))/((1/Konstanta!$B$4)-(1/Konstanta!$B$5))</f>
        <v>0.90065753835834217</v>
      </c>
      <c r="C686" s="16">
        <f t="shared" si="20"/>
        <v>21.615780920600212</v>
      </c>
      <c r="D686" s="17" t="str">
        <f t="shared" si="21"/>
        <v>~22K</v>
      </c>
    </row>
    <row r="687" spans="1:4" x14ac:dyDescent="0.25">
      <c r="A687" s="14">
        <v>17.34</v>
      </c>
      <c r="B687" s="15">
        <f>((1/A687)-(1/Konstanta!$B$5))/((1/Konstanta!$B$4)-(1/Konstanta!$B$5))</f>
        <v>0.90120331720682278</v>
      </c>
      <c r="C687" s="16">
        <f t="shared" si="20"/>
        <v>21.628879612963747</v>
      </c>
      <c r="D687" s="17" t="str">
        <f t="shared" si="21"/>
        <v>~22K</v>
      </c>
    </row>
    <row r="688" spans="1:4" x14ac:dyDescent="0.25">
      <c r="A688" s="14">
        <v>17.350000000000001</v>
      </c>
      <c r="B688" s="15">
        <f>((1/A688)-(1/Konstanta!$B$5))/((1/Konstanta!$B$4)-(1/Konstanta!$B$5))</f>
        <v>0.90174846691542043</v>
      </c>
      <c r="C688" s="16">
        <f t="shared" si="20"/>
        <v>21.641963205970089</v>
      </c>
      <c r="D688" s="17" t="str">
        <f t="shared" si="21"/>
        <v>~22K</v>
      </c>
    </row>
    <row r="689" spans="1:4" x14ac:dyDescent="0.25">
      <c r="A689" s="14">
        <v>17.36</v>
      </c>
      <c r="B689" s="15">
        <f>((1/A689)-(1/Konstanta!$B$5))/((1/Konstanta!$B$4)-(1/Konstanta!$B$5))</f>
        <v>0.9022929885713582</v>
      </c>
      <c r="C689" s="16">
        <f t="shared" si="20"/>
        <v>21.655031725712597</v>
      </c>
      <c r="D689" s="17" t="str">
        <f t="shared" si="21"/>
        <v>~22K</v>
      </c>
    </row>
    <row r="690" spans="1:4" x14ac:dyDescent="0.25">
      <c r="A690" s="14">
        <v>17.37</v>
      </c>
      <c r="B690" s="15">
        <f>((1/A690)-(1/Konstanta!$B$5))/((1/Konstanta!$B$4)-(1/Konstanta!$B$5))</f>
        <v>0.90283688325935618</v>
      </c>
      <c r="C690" s="16">
        <f t="shared" si="20"/>
        <v>21.668085198224549</v>
      </c>
      <c r="D690" s="17" t="str">
        <f t="shared" si="21"/>
        <v>~22K</v>
      </c>
    </row>
    <row r="691" spans="1:4" x14ac:dyDescent="0.25">
      <c r="A691" s="14">
        <v>17.38</v>
      </c>
      <c r="B691" s="15">
        <f>((1/A691)-(1/Konstanta!$B$5))/((1/Konstanta!$B$4)-(1/Konstanta!$B$5))</f>
        <v>0.90338015206163691</v>
      </c>
      <c r="C691" s="16">
        <f t="shared" si="20"/>
        <v>21.681123649479286</v>
      </c>
      <c r="D691" s="17" t="str">
        <f t="shared" si="21"/>
        <v>~22K</v>
      </c>
    </row>
    <row r="692" spans="1:4" x14ac:dyDescent="0.25">
      <c r="A692" s="14">
        <v>17.39</v>
      </c>
      <c r="B692" s="15">
        <f>((1/A692)-(1/Konstanta!$B$5))/((1/Konstanta!$B$4)-(1/Konstanta!$B$5))</f>
        <v>0.9039227960579348</v>
      </c>
      <c r="C692" s="16">
        <f t="shared" si="20"/>
        <v>21.694147105390435</v>
      </c>
      <c r="D692" s="17" t="str">
        <f t="shared" si="21"/>
        <v>~22K</v>
      </c>
    </row>
    <row r="693" spans="1:4" x14ac:dyDescent="0.25">
      <c r="A693" s="14">
        <v>17.399999999999999</v>
      </c>
      <c r="B693" s="15">
        <f>((1/A693)-(1/Konstanta!$B$5))/((1/Konstanta!$B$4)-(1/Konstanta!$B$5))</f>
        <v>0.90446481632550113</v>
      </c>
      <c r="C693" s="16">
        <f t="shared" si="20"/>
        <v>21.707155591812025</v>
      </c>
      <c r="D693" s="17" t="str">
        <f t="shared" si="21"/>
        <v>~22K</v>
      </c>
    </row>
    <row r="694" spans="1:4" x14ac:dyDescent="0.25">
      <c r="A694" s="14">
        <v>17.41</v>
      </c>
      <c r="B694" s="15">
        <f>((1/A694)-(1/Konstanta!$B$5))/((1/Konstanta!$B$4)-(1/Konstanta!$B$5))</f>
        <v>0.90500621393911296</v>
      </c>
      <c r="C694" s="16">
        <f t="shared" si="20"/>
        <v>21.720149134538712</v>
      </c>
      <c r="D694" s="17" t="str">
        <f t="shared" si="21"/>
        <v>~22K</v>
      </c>
    </row>
    <row r="695" spans="1:4" x14ac:dyDescent="0.25">
      <c r="A695" s="14">
        <v>17.420000000000002</v>
      </c>
      <c r="B695" s="15">
        <f>((1/A695)-(1/Konstanta!$B$5))/((1/Konstanta!$B$4)-(1/Konstanta!$B$5))</f>
        <v>0.90554698997107896</v>
      </c>
      <c r="C695" s="16">
        <f t="shared" si="20"/>
        <v>21.733127759305894</v>
      </c>
      <c r="D695" s="17" t="str">
        <f t="shared" si="21"/>
        <v>~22K</v>
      </c>
    </row>
    <row r="696" spans="1:4" x14ac:dyDescent="0.25">
      <c r="A696" s="14">
        <v>17.43</v>
      </c>
      <c r="B696" s="15">
        <f>((1/A696)-(1/Konstanta!$B$5))/((1/Konstanta!$B$4)-(1/Konstanta!$B$5))</f>
        <v>0.90608714549124669</v>
      </c>
      <c r="C696" s="16">
        <f t="shared" si="20"/>
        <v>21.746091491789919</v>
      </c>
      <c r="D696" s="17" t="str">
        <f t="shared" si="21"/>
        <v>~22K</v>
      </c>
    </row>
    <row r="697" spans="1:4" x14ac:dyDescent="0.25">
      <c r="A697" s="14">
        <v>17.440000000000001</v>
      </c>
      <c r="B697" s="15">
        <f>((1/A697)-(1/Konstanta!$B$5))/((1/Konstanta!$B$4)-(1/Konstanta!$B$5))</f>
        <v>0.90662668156701065</v>
      </c>
      <c r="C697" s="16">
        <f t="shared" si="20"/>
        <v>21.759040357608256</v>
      </c>
      <c r="D697" s="17" t="str">
        <f t="shared" si="21"/>
        <v>~22K</v>
      </c>
    </row>
    <row r="698" spans="1:4" x14ac:dyDescent="0.25">
      <c r="A698" s="14">
        <v>17.45</v>
      </c>
      <c r="B698" s="15">
        <f>((1/A698)-(1/Konstanta!$B$5))/((1/Konstanta!$B$4)-(1/Konstanta!$B$5))</f>
        <v>0.90716559926331808</v>
      </c>
      <c r="C698" s="16">
        <f t="shared" si="20"/>
        <v>21.771974382319634</v>
      </c>
      <c r="D698" s="17" t="str">
        <f t="shared" si="21"/>
        <v>~22K</v>
      </c>
    </row>
    <row r="699" spans="1:4" x14ac:dyDescent="0.25">
      <c r="A699" s="14">
        <v>17.46</v>
      </c>
      <c r="B699" s="15">
        <f>((1/A699)-(1/Konstanta!$B$5))/((1/Konstanta!$B$4)-(1/Konstanta!$B$5))</f>
        <v>0.90770389964267684</v>
      </c>
      <c r="C699" s="16">
        <f t="shared" si="20"/>
        <v>21.784893591424243</v>
      </c>
      <c r="D699" s="17" t="str">
        <f t="shared" si="21"/>
        <v>~22K</v>
      </c>
    </row>
    <row r="700" spans="1:4" x14ac:dyDescent="0.25">
      <c r="A700" s="14">
        <v>17.47</v>
      </c>
      <c r="B700" s="15">
        <f>((1/A700)-(1/Konstanta!$B$5))/((1/Konstanta!$B$4)-(1/Konstanta!$B$5))</f>
        <v>0.90824158376516151</v>
      </c>
      <c r="C700" s="16">
        <f t="shared" si="20"/>
        <v>21.797798010363877</v>
      </c>
      <c r="D700" s="17" t="str">
        <f t="shared" si="21"/>
        <v>~22K</v>
      </c>
    </row>
    <row r="701" spans="1:4" x14ac:dyDescent="0.25">
      <c r="A701" s="14">
        <v>17.48</v>
      </c>
      <c r="B701" s="15">
        <f>((1/A701)-(1/Konstanta!$B$5))/((1/Konstanta!$B$4)-(1/Konstanta!$B$5))</f>
        <v>0.90877865268842162</v>
      </c>
      <c r="C701" s="16">
        <f t="shared" si="20"/>
        <v>21.810687664522121</v>
      </c>
      <c r="D701" s="17" t="str">
        <f t="shared" si="21"/>
        <v>~22K</v>
      </c>
    </row>
    <row r="702" spans="1:4" x14ac:dyDescent="0.25">
      <c r="A702" s="14">
        <v>17.489999999999998</v>
      </c>
      <c r="B702" s="15">
        <f>((1/A702)-(1/Konstanta!$B$5))/((1/Konstanta!$B$4)-(1/Konstanta!$B$5))</f>
        <v>0.90931510746768685</v>
      </c>
      <c r="C702" s="16">
        <f t="shared" si="20"/>
        <v>21.823562579224486</v>
      </c>
      <c r="D702" s="17" t="str">
        <f t="shared" si="21"/>
        <v>~22K</v>
      </c>
    </row>
    <row r="703" spans="1:4" x14ac:dyDescent="0.25">
      <c r="A703" s="14">
        <v>17.5</v>
      </c>
      <c r="B703" s="15">
        <f>((1/A703)-(1/Konstanta!$B$5))/((1/Konstanta!$B$4)-(1/Konstanta!$B$5))</f>
        <v>0.90985094915577602</v>
      </c>
      <c r="C703" s="16">
        <f t="shared" si="20"/>
        <v>21.836422779738626</v>
      </c>
      <c r="D703" s="17" t="str">
        <f t="shared" si="21"/>
        <v>~22K</v>
      </c>
    </row>
    <row r="704" spans="1:4" x14ac:dyDescent="0.25">
      <c r="A704" s="14">
        <v>17.510000000000002</v>
      </c>
      <c r="B704" s="15">
        <f>((1/A704)-(1/Konstanta!$B$5))/((1/Konstanta!$B$4)-(1/Konstanta!$B$5))</f>
        <v>0.91038617880310213</v>
      </c>
      <c r="C704" s="16">
        <f t="shared" si="20"/>
        <v>21.849268291274452</v>
      </c>
      <c r="D704" s="17" t="str">
        <f t="shared" si="21"/>
        <v>~22K</v>
      </c>
    </row>
    <row r="705" spans="1:4" x14ac:dyDescent="0.25">
      <c r="A705" s="14">
        <v>17.52</v>
      </c>
      <c r="B705" s="15">
        <f>((1/A705)-(1/Konstanta!$B$5))/((1/Konstanta!$B$4)-(1/Konstanta!$B$5))</f>
        <v>0.91092079745767984</v>
      </c>
      <c r="C705" s="16">
        <f t="shared" si="20"/>
        <v>21.862099138984316</v>
      </c>
      <c r="D705" s="17" t="str">
        <f t="shared" si="21"/>
        <v>~22K</v>
      </c>
    </row>
    <row r="706" spans="1:4" x14ac:dyDescent="0.25">
      <c r="A706" s="14">
        <v>17.53</v>
      </c>
      <c r="B706" s="15">
        <f>((1/A706)-(1/Konstanta!$B$5))/((1/Konstanta!$B$4)-(1/Konstanta!$B$5))</f>
        <v>0.91145480616513341</v>
      </c>
      <c r="C706" s="16">
        <f t="shared" si="20"/>
        <v>21.874915347963203</v>
      </c>
      <c r="D706" s="17" t="str">
        <f t="shared" si="21"/>
        <v>~22K</v>
      </c>
    </row>
    <row r="707" spans="1:4" x14ac:dyDescent="0.25">
      <c r="A707" s="14">
        <v>17.54</v>
      </c>
      <c r="B707" s="15">
        <f>((1/A707)-(1/Konstanta!$B$5))/((1/Konstanta!$B$4)-(1/Konstanta!$B$5))</f>
        <v>0.91198820596870145</v>
      </c>
      <c r="C707" s="16">
        <f t="shared" si="20"/>
        <v>21.887716943248833</v>
      </c>
      <c r="D707" s="17" t="str">
        <f t="shared" si="21"/>
        <v>~22K</v>
      </c>
    </row>
    <row r="708" spans="1:4" x14ac:dyDescent="0.25">
      <c r="A708" s="14">
        <v>17.55</v>
      </c>
      <c r="B708" s="15">
        <f>((1/A708)-(1/Konstanta!$B$5))/((1/Konstanta!$B$4)-(1/Konstanta!$B$5))</f>
        <v>0.91252099790924557</v>
      </c>
      <c r="C708" s="16">
        <f t="shared" ref="C708:C771" si="22">B708*24</f>
        <v>21.900503949821893</v>
      </c>
      <c r="D708" s="17" t="str">
        <f t="shared" ref="D708:D771" si="23">IF(ROUND(C708,0)=24,"24K (murni)",IF(ROUND(C708,0)&gt;=22,"~22K",IF(ROUND(C708,0)&gt;=18,"~18K",IF(ROUND(C708,0)&gt;=14,"~14K","&lt;14K"))))</f>
        <v>~22K</v>
      </c>
    </row>
    <row r="709" spans="1:4" x14ac:dyDescent="0.25">
      <c r="A709" s="14">
        <v>17.559999999999999</v>
      </c>
      <c r="B709" s="15">
        <f>((1/A709)-(1/Konstanta!$B$5))/((1/Konstanta!$B$4)-(1/Konstanta!$B$5))</f>
        <v>0.91305318302525584</v>
      </c>
      <c r="C709" s="16">
        <f t="shared" si="22"/>
        <v>21.913276392606139</v>
      </c>
      <c r="D709" s="17" t="str">
        <f t="shared" si="23"/>
        <v>~22K</v>
      </c>
    </row>
    <row r="710" spans="1:4" x14ac:dyDescent="0.25">
      <c r="A710" s="14">
        <v>17.57</v>
      </c>
      <c r="B710" s="15">
        <f>((1/A710)-(1/Konstanta!$B$5))/((1/Konstanta!$B$4)-(1/Konstanta!$B$5))</f>
        <v>0.91358476235285901</v>
      </c>
      <c r="C710" s="16">
        <f t="shared" si="22"/>
        <v>21.926034296468615</v>
      </c>
      <c r="D710" s="17" t="str">
        <f t="shared" si="23"/>
        <v>~22K</v>
      </c>
    </row>
    <row r="711" spans="1:4" x14ac:dyDescent="0.25">
      <c r="A711" s="14">
        <v>17.579999999999998</v>
      </c>
      <c r="B711" s="15">
        <f>((1/A711)-(1/Konstanta!$B$5))/((1/Konstanta!$B$4)-(1/Konstanta!$B$5))</f>
        <v>0.91411573692582282</v>
      </c>
      <c r="C711" s="16">
        <f t="shared" si="22"/>
        <v>21.938777686219748</v>
      </c>
      <c r="D711" s="17" t="str">
        <f t="shared" si="23"/>
        <v>~22K</v>
      </c>
    </row>
    <row r="712" spans="1:4" x14ac:dyDescent="0.25">
      <c r="A712" s="14">
        <v>17.59</v>
      </c>
      <c r="B712" s="15">
        <f>((1/A712)-(1/Konstanta!$B$5))/((1/Konstanta!$B$4)-(1/Konstanta!$B$5))</f>
        <v>0.91464610777556576</v>
      </c>
      <c r="C712" s="16">
        <f t="shared" si="22"/>
        <v>21.951506586613579</v>
      </c>
      <c r="D712" s="17" t="str">
        <f t="shared" si="23"/>
        <v>~22K</v>
      </c>
    </row>
    <row r="713" spans="1:4" x14ac:dyDescent="0.25">
      <c r="A713" s="14">
        <v>17.600000000000001</v>
      </c>
      <c r="B713" s="15">
        <f>((1/A713)-(1/Konstanta!$B$5))/((1/Konstanta!$B$4)-(1/Konstanta!$B$5))</f>
        <v>0.91517587593116134</v>
      </c>
      <c r="C713" s="16">
        <f t="shared" si="22"/>
        <v>21.964221022347871</v>
      </c>
      <c r="D713" s="17" t="str">
        <f t="shared" si="23"/>
        <v>~22K</v>
      </c>
    </row>
    <row r="714" spans="1:4" x14ac:dyDescent="0.25">
      <c r="A714" s="14">
        <v>17.61</v>
      </c>
      <c r="B714" s="15">
        <f>((1/A714)-(1/Konstanta!$B$5))/((1/Konstanta!$B$4)-(1/Konstanta!$B$5))</f>
        <v>0.91570504241934547</v>
      </c>
      <c r="C714" s="16">
        <f t="shared" si="22"/>
        <v>21.976921018064292</v>
      </c>
      <c r="D714" s="17" t="str">
        <f t="shared" si="23"/>
        <v>~22K</v>
      </c>
    </row>
    <row r="715" spans="1:4" x14ac:dyDescent="0.25">
      <c r="A715" s="14">
        <v>17.62</v>
      </c>
      <c r="B715" s="15">
        <f>((1/A715)-(1/Konstanta!$B$5))/((1/Konstanta!$B$4)-(1/Konstanta!$B$5))</f>
        <v>0.91623360826452382</v>
      </c>
      <c r="C715" s="16">
        <f t="shared" si="22"/>
        <v>21.989606598348573</v>
      </c>
      <c r="D715" s="17" t="str">
        <f t="shared" si="23"/>
        <v>~22K</v>
      </c>
    </row>
    <row r="716" spans="1:4" x14ac:dyDescent="0.25">
      <c r="A716" s="14">
        <v>17.63</v>
      </c>
      <c r="B716" s="15">
        <f>((1/A716)-(1/Konstanta!$B$5))/((1/Konstanta!$B$4)-(1/Konstanta!$B$5))</f>
        <v>0.91676157448877738</v>
      </c>
      <c r="C716" s="16">
        <f t="shared" si="22"/>
        <v>22.002277787730655</v>
      </c>
      <c r="D716" s="17" t="str">
        <f t="shared" si="23"/>
        <v>~22K</v>
      </c>
    </row>
    <row r="717" spans="1:4" x14ac:dyDescent="0.25">
      <c r="A717" s="14">
        <v>17.64</v>
      </c>
      <c r="B717" s="15">
        <f>((1/A717)-(1/Konstanta!$B$5))/((1/Konstanta!$B$4)-(1/Konstanta!$B$5))</f>
        <v>0.91728894211186973</v>
      </c>
      <c r="C717" s="16">
        <f t="shared" si="22"/>
        <v>22.014934610684875</v>
      </c>
      <c r="D717" s="17" t="str">
        <f t="shared" si="23"/>
        <v>~22K</v>
      </c>
    </row>
    <row r="718" spans="1:4" x14ac:dyDescent="0.25">
      <c r="A718" s="14">
        <v>17.649999999999999</v>
      </c>
      <c r="B718" s="15">
        <f>((1/A718)-(1/Konstanta!$B$5))/((1/Konstanta!$B$4)-(1/Konstanta!$B$5))</f>
        <v>0.91781571215125302</v>
      </c>
      <c r="C718" s="16">
        <f t="shared" si="22"/>
        <v>22.027577091630071</v>
      </c>
      <c r="D718" s="17" t="str">
        <f t="shared" si="23"/>
        <v>~22K</v>
      </c>
    </row>
    <row r="719" spans="1:4" x14ac:dyDescent="0.25">
      <c r="A719" s="14">
        <v>17.66</v>
      </c>
      <c r="B719" s="15">
        <f>((1/A719)-(1/Konstanta!$B$5))/((1/Konstanta!$B$4)-(1/Konstanta!$B$5))</f>
        <v>0.91834188562207553</v>
      </c>
      <c r="C719" s="16">
        <f t="shared" si="22"/>
        <v>22.040205254929813</v>
      </c>
      <c r="D719" s="17" t="str">
        <f t="shared" si="23"/>
        <v>~22K</v>
      </c>
    </row>
    <row r="720" spans="1:4" x14ac:dyDescent="0.25">
      <c r="A720" s="14">
        <v>17.670000000000002</v>
      </c>
      <c r="B720" s="15">
        <f>((1/A720)-(1/Konstanta!$B$5))/((1/Konstanta!$B$4)-(1/Konstanta!$B$5))</f>
        <v>0.91886746353718685</v>
      </c>
      <c r="C720" s="16">
        <f t="shared" si="22"/>
        <v>22.052819124892483</v>
      </c>
      <c r="D720" s="17" t="str">
        <f t="shared" si="23"/>
        <v>~22K</v>
      </c>
    </row>
    <row r="721" spans="1:4" x14ac:dyDescent="0.25">
      <c r="A721" s="14">
        <v>17.68</v>
      </c>
      <c r="B721" s="15">
        <f>((1/A721)-(1/Konstanta!$B$5))/((1/Konstanta!$B$4)-(1/Konstanta!$B$5))</f>
        <v>0.91939244690714506</v>
      </c>
      <c r="C721" s="16">
        <f t="shared" si="22"/>
        <v>22.06541872577148</v>
      </c>
      <c r="D721" s="17" t="str">
        <f t="shared" si="23"/>
        <v>~22K</v>
      </c>
    </row>
    <row r="722" spans="1:4" x14ac:dyDescent="0.25">
      <c r="A722" s="14">
        <v>17.690000000000001</v>
      </c>
      <c r="B722" s="15">
        <f>((1/A722)-(1/Konstanta!$B$5))/((1/Konstanta!$B$4)-(1/Konstanta!$B$5))</f>
        <v>0.91991683674022395</v>
      </c>
      <c r="C722" s="16">
        <f t="shared" si="22"/>
        <v>22.078004081765375</v>
      </c>
      <c r="D722" s="17" t="str">
        <f t="shared" si="23"/>
        <v>~22K</v>
      </c>
    </row>
    <row r="723" spans="1:4" x14ac:dyDescent="0.25">
      <c r="A723" s="14">
        <v>17.7</v>
      </c>
      <c r="B723" s="15">
        <f>((1/A723)-(1/Konstanta!$B$5))/((1/Konstanta!$B$4)-(1/Konstanta!$B$5))</f>
        <v>0.92044063404241783</v>
      </c>
      <c r="C723" s="16">
        <f t="shared" si="22"/>
        <v>22.090575217018028</v>
      </c>
      <c r="D723" s="17" t="str">
        <f t="shared" si="23"/>
        <v>~22K</v>
      </c>
    </row>
    <row r="724" spans="1:4" x14ac:dyDescent="0.25">
      <c r="A724" s="14">
        <v>17.71</v>
      </c>
      <c r="B724" s="15">
        <f>((1/A724)-(1/Konstanta!$B$5))/((1/Konstanta!$B$4)-(1/Konstanta!$B$5))</f>
        <v>0.92096383981744967</v>
      </c>
      <c r="C724" s="16">
        <f t="shared" si="22"/>
        <v>22.103132155618791</v>
      </c>
      <c r="D724" s="17" t="str">
        <f t="shared" si="23"/>
        <v>~22K</v>
      </c>
    </row>
    <row r="725" spans="1:4" x14ac:dyDescent="0.25">
      <c r="A725" s="14">
        <v>17.72</v>
      </c>
      <c r="B725" s="15">
        <f>((1/A725)-(1/Konstanta!$B$5))/((1/Konstanta!$B$4)-(1/Konstanta!$B$5))</f>
        <v>0.92148645506677573</v>
      </c>
      <c r="C725" s="16">
        <f t="shared" si="22"/>
        <v>22.115674921602618</v>
      </c>
      <c r="D725" s="17" t="str">
        <f t="shared" si="23"/>
        <v>~22K</v>
      </c>
    </row>
    <row r="726" spans="1:4" x14ac:dyDescent="0.25">
      <c r="A726" s="14">
        <v>17.73</v>
      </c>
      <c r="B726" s="15">
        <f>((1/A726)-(1/Konstanta!$B$5))/((1/Konstanta!$B$4)-(1/Konstanta!$B$5))</f>
        <v>0.92200848078959408</v>
      </c>
      <c r="C726" s="16">
        <f t="shared" si="22"/>
        <v>22.12820353895026</v>
      </c>
      <c r="D726" s="17" t="str">
        <f t="shared" si="23"/>
        <v>~22K</v>
      </c>
    </row>
    <row r="727" spans="1:4" x14ac:dyDescent="0.25">
      <c r="A727" s="14">
        <v>17.739999999999998</v>
      </c>
      <c r="B727" s="15">
        <f>((1/A727)-(1/Konstanta!$B$5))/((1/Konstanta!$B$4)-(1/Konstanta!$B$5))</f>
        <v>0.92252991798284878</v>
      </c>
      <c r="C727" s="16">
        <f t="shared" si="22"/>
        <v>22.140718031588371</v>
      </c>
      <c r="D727" s="17" t="str">
        <f t="shared" si="23"/>
        <v>~22K</v>
      </c>
    </row>
    <row r="728" spans="1:4" x14ac:dyDescent="0.25">
      <c r="A728" s="14">
        <v>17.75</v>
      </c>
      <c r="B728" s="15">
        <f>((1/A728)-(1/Konstanta!$B$5))/((1/Konstanta!$B$4)-(1/Konstanta!$B$5))</f>
        <v>0.92305076764123806</v>
      </c>
      <c r="C728" s="16">
        <f t="shared" si="22"/>
        <v>22.153218423389713</v>
      </c>
      <c r="D728" s="17" t="str">
        <f t="shared" si="23"/>
        <v>~22K</v>
      </c>
    </row>
    <row r="729" spans="1:4" x14ac:dyDescent="0.25">
      <c r="A729" s="14">
        <v>17.760000000000002</v>
      </c>
      <c r="B729" s="15">
        <f>((1/A729)-(1/Konstanta!$B$5))/((1/Konstanta!$B$4)-(1/Konstanta!$B$5))</f>
        <v>0.92357103075721925</v>
      </c>
      <c r="C729" s="16">
        <f t="shared" si="22"/>
        <v>22.165704738173261</v>
      </c>
      <c r="D729" s="17" t="str">
        <f t="shared" si="23"/>
        <v>~22K</v>
      </c>
    </row>
    <row r="730" spans="1:4" x14ac:dyDescent="0.25">
      <c r="A730" s="14">
        <v>17.77</v>
      </c>
      <c r="B730" s="15">
        <f>((1/A730)-(1/Konstanta!$B$5))/((1/Konstanta!$B$4)-(1/Konstanta!$B$5))</f>
        <v>0.92409070832101559</v>
      </c>
      <c r="C730" s="16">
        <f t="shared" si="22"/>
        <v>22.178176999704373</v>
      </c>
      <c r="D730" s="17" t="str">
        <f t="shared" si="23"/>
        <v>~22K</v>
      </c>
    </row>
    <row r="731" spans="1:4" x14ac:dyDescent="0.25">
      <c r="A731" s="14">
        <v>17.78</v>
      </c>
      <c r="B731" s="15">
        <f>((1/A731)-(1/Konstanta!$B$5))/((1/Konstanta!$B$4)-(1/Konstanta!$B$5))</f>
        <v>0.92460980132062343</v>
      </c>
      <c r="C731" s="16">
        <f t="shared" si="22"/>
        <v>22.190635231694962</v>
      </c>
      <c r="D731" s="17" t="str">
        <f t="shared" si="23"/>
        <v>~22K</v>
      </c>
    </row>
    <row r="732" spans="1:4" x14ac:dyDescent="0.25">
      <c r="A732" s="14">
        <v>17.79</v>
      </c>
      <c r="B732" s="15">
        <f>((1/A732)-(1/Konstanta!$B$5))/((1/Konstanta!$B$4)-(1/Konstanta!$B$5))</f>
        <v>0.92512831074181667</v>
      </c>
      <c r="C732" s="16">
        <f t="shared" si="22"/>
        <v>22.2030794578036</v>
      </c>
      <c r="D732" s="17" t="str">
        <f t="shared" si="23"/>
        <v>~22K</v>
      </c>
    </row>
    <row r="733" spans="1:4" x14ac:dyDescent="0.25">
      <c r="A733" s="14">
        <v>17.8</v>
      </c>
      <c r="B733" s="15">
        <f>((1/A733)-(1/Konstanta!$B$5))/((1/Konstanta!$B$4)-(1/Konstanta!$B$5))</f>
        <v>0.92564623756815478</v>
      </c>
      <c r="C733" s="16">
        <f t="shared" si="22"/>
        <v>22.215509701635714</v>
      </c>
      <c r="D733" s="17" t="str">
        <f t="shared" si="23"/>
        <v>~22K</v>
      </c>
    </row>
    <row r="734" spans="1:4" x14ac:dyDescent="0.25">
      <c r="A734" s="14">
        <v>17.809999999999999</v>
      </c>
      <c r="B734" s="15">
        <f>((1/A734)-(1/Konstanta!$B$5))/((1/Konstanta!$B$4)-(1/Konstanta!$B$5))</f>
        <v>0.92616358278098754</v>
      </c>
      <c r="C734" s="16">
        <f t="shared" si="22"/>
        <v>22.227925986743699</v>
      </c>
      <c r="D734" s="17" t="str">
        <f t="shared" si="23"/>
        <v>~22K</v>
      </c>
    </row>
    <row r="735" spans="1:4" x14ac:dyDescent="0.25">
      <c r="A735" s="14">
        <v>17.82</v>
      </c>
      <c r="B735" s="15">
        <f>((1/A735)-(1/Konstanta!$B$5))/((1/Konstanta!$B$4)-(1/Konstanta!$B$5))</f>
        <v>0.9266803473594627</v>
      </c>
      <c r="C735" s="16">
        <f t="shared" si="22"/>
        <v>22.240328336627105</v>
      </c>
      <c r="D735" s="17" t="str">
        <f t="shared" si="23"/>
        <v>~22K</v>
      </c>
    </row>
    <row r="736" spans="1:4" x14ac:dyDescent="0.25">
      <c r="A736" s="14">
        <v>17.829999999999998</v>
      </c>
      <c r="B736" s="15">
        <f>((1/A736)-(1/Konstanta!$B$5))/((1/Konstanta!$B$4)-(1/Konstanta!$B$5))</f>
        <v>0.92719653228053056</v>
      </c>
      <c r="C736" s="16">
        <f t="shared" si="22"/>
        <v>22.252716774732733</v>
      </c>
      <c r="D736" s="17" t="str">
        <f t="shared" si="23"/>
        <v>~22K</v>
      </c>
    </row>
    <row r="737" spans="1:4" x14ac:dyDescent="0.25">
      <c r="A737" s="14">
        <v>17.84</v>
      </c>
      <c r="B737" s="15">
        <f>((1/A737)-(1/Konstanta!$B$5))/((1/Konstanta!$B$4)-(1/Konstanta!$B$5))</f>
        <v>0.92771213851895162</v>
      </c>
      <c r="C737" s="16">
        <f t="shared" si="22"/>
        <v>22.26509132445484</v>
      </c>
      <c r="D737" s="17" t="str">
        <f t="shared" si="23"/>
        <v>~22K</v>
      </c>
    </row>
    <row r="738" spans="1:4" x14ac:dyDescent="0.25">
      <c r="A738" s="14">
        <v>17.850000000000001</v>
      </c>
      <c r="B738" s="15">
        <f>((1/A738)-(1/Konstanta!$B$5))/((1/Konstanta!$B$4)-(1/Konstanta!$B$5))</f>
        <v>0.92822716704730168</v>
      </c>
      <c r="C738" s="16">
        <f t="shared" si="22"/>
        <v>22.277452009135239</v>
      </c>
      <c r="D738" s="17" t="str">
        <f t="shared" si="23"/>
        <v>~22K</v>
      </c>
    </row>
    <row r="739" spans="1:4" x14ac:dyDescent="0.25">
      <c r="A739" s="14">
        <v>17.86</v>
      </c>
      <c r="B739" s="15">
        <f>((1/A739)-(1/Konstanta!$B$5))/((1/Konstanta!$B$4)-(1/Konstanta!$B$5))</f>
        <v>0.92874161883597806</v>
      </c>
      <c r="C739" s="16">
        <f t="shared" si="22"/>
        <v>22.289798852063473</v>
      </c>
      <c r="D739" s="17" t="str">
        <f t="shared" si="23"/>
        <v>~22K</v>
      </c>
    </row>
    <row r="740" spans="1:4" x14ac:dyDescent="0.25">
      <c r="A740" s="14">
        <v>17.87</v>
      </c>
      <c r="B740" s="15">
        <f>((1/A740)-(1/Konstanta!$B$5))/((1/Konstanta!$B$4)-(1/Konstanta!$B$5))</f>
        <v>0.9292554948532068</v>
      </c>
      <c r="C740" s="16">
        <f t="shared" si="22"/>
        <v>22.302131876476963</v>
      </c>
      <c r="D740" s="17" t="str">
        <f t="shared" si="23"/>
        <v>~22K</v>
      </c>
    </row>
    <row r="741" spans="1:4" x14ac:dyDescent="0.25">
      <c r="A741" s="14">
        <v>17.88</v>
      </c>
      <c r="B741" s="15">
        <f>((1/A741)-(1/Konstanta!$B$5))/((1/Konstanta!$B$4)-(1/Konstanta!$B$5))</f>
        <v>0.92976879606504692</v>
      </c>
      <c r="C741" s="16">
        <f t="shared" si="22"/>
        <v>22.314451105561126</v>
      </c>
      <c r="D741" s="17" t="str">
        <f t="shared" si="23"/>
        <v>~22K</v>
      </c>
    </row>
    <row r="742" spans="1:4" x14ac:dyDescent="0.25">
      <c r="A742" s="14">
        <v>17.89</v>
      </c>
      <c r="B742" s="15">
        <f>((1/A742)-(1/Konstanta!$B$5))/((1/Konstanta!$B$4)-(1/Konstanta!$B$5))</f>
        <v>0.93028152343539849</v>
      </c>
      <c r="C742" s="16">
        <f t="shared" si="22"/>
        <v>22.326756562449564</v>
      </c>
      <c r="D742" s="17" t="str">
        <f t="shared" si="23"/>
        <v>~22K</v>
      </c>
    </row>
    <row r="743" spans="1:4" x14ac:dyDescent="0.25">
      <c r="A743" s="14">
        <v>17.899999999999999</v>
      </c>
      <c r="B743" s="15">
        <f>((1/A743)-(1/Konstanta!$B$5))/((1/Konstanta!$B$4)-(1/Konstanta!$B$5))</f>
        <v>0.9307936779260062</v>
      </c>
      <c r="C743" s="16">
        <f t="shared" si="22"/>
        <v>22.339048270224147</v>
      </c>
      <c r="D743" s="17" t="str">
        <f t="shared" si="23"/>
        <v>~22K</v>
      </c>
    </row>
    <row r="744" spans="1:4" x14ac:dyDescent="0.25">
      <c r="A744" s="14">
        <v>17.91</v>
      </c>
      <c r="B744" s="15">
        <f>((1/A744)-(1/Konstanta!$B$5))/((1/Konstanta!$B$4)-(1/Konstanta!$B$5))</f>
        <v>0.93130526049646845</v>
      </c>
      <c r="C744" s="16">
        <f t="shared" si="22"/>
        <v>22.351326251915243</v>
      </c>
      <c r="D744" s="17" t="str">
        <f t="shared" si="23"/>
        <v>~22K</v>
      </c>
    </row>
    <row r="745" spans="1:4" x14ac:dyDescent="0.25">
      <c r="A745" s="14">
        <v>17.920000000000002</v>
      </c>
      <c r="B745" s="15">
        <f>((1/A745)-(1/Konstanta!$B$5))/((1/Konstanta!$B$4)-(1/Konstanta!$B$5))</f>
        <v>0.93181627210424023</v>
      </c>
      <c r="C745" s="16">
        <f t="shared" si="22"/>
        <v>22.363590530501767</v>
      </c>
      <c r="D745" s="17" t="str">
        <f t="shared" si="23"/>
        <v>~22K</v>
      </c>
    </row>
    <row r="746" spans="1:4" x14ac:dyDescent="0.25">
      <c r="A746" s="14">
        <v>17.93</v>
      </c>
      <c r="B746" s="15">
        <f>((1/A746)-(1/Konstanta!$B$5))/((1/Konstanta!$B$4)-(1/Konstanta!$B$5))</f>
        <v>0.93232671370464126</v>
      </c>
      <c r="C746" s="16">
        <f t="shared" si="22"/>
        <v>22.375841128911389</v>
      </c>
      <c r="D746" s="17" t="str">
        <f t="shared" si="23"/>
        <v>~22K</v>
      </c>
    </row>
    <row r="747" spans="1:4" x14ac:dyDescent="0.25">
      <c r="A747" s="14">
        <v>17.940000000000001</v>
      </c>
      <c r="B747" s="15">
        <f>((1/A747)-(1/Konstanta!$B$5))/((1/Konstanta!$B$4)-(1/Konstanta!$B$5))</f>
        <v>0.93283658625086163</v>
      </c>
      <c r="C747" s="16">
        <f t="shared" si="22"/>
        <v>22.388078070020679</v>
      </c>
      <c r="D747" s="17" t="str">
        <f t="shared" si="23"/>
        <v>~22K</v>
      </c>
    </row>
    <row r="748" spans="1:4" x14ac:dyDescent="0.25">
      <c r="A748" s="14">
        <v>17.95</v>
      </c>
      <c r="B748" s="15">
        <f>((1/A748)-(1/Konstanta!$B$5))/((1/Konstanta!$B$4)-(1/Konstanta!$B$5))</f>
        <v>0.93334589069396601</v>
      </c>
      <c r="C748" s="16">
        <f t="shared" si="22"/>
        <v>22.400301376655186</v>
      </c>
      <c r="D748" s="17" t="str">
        <f t="shared" si="23"/>
        <v>~22K</v>
      </c>
    </row>
    <row r="749" spans="1:4" x14ac:dyDescent="0.25">
      <c r="A749" s="14">
        <v>17.96</v>
      </c>
      <c r="B749" s="15">
        <f>((1/A749)-(1/Konstanta!$B$5))/((1/Konstanta!$B$4)-(1/Konstanta!$B$5))</f>
        <v>0.93385462798290253</v>
      </c>
      <c r="C749" s="16">
        <f t="shared" si="22"/>
        <v>22.412511071589662</v>
      </c>
      <c r="D749" s="17" t="str">
        <f t="shared" si="23"/>
        <v>~22K</v>
      </c>
    </row>
    <row r="750" spans="1:4" x14ac:dyDescent="0.25">
      <c r="A750" s="14">
        <v>17.97</v>
      </c>
      <c r="B750" s="15">
        <f>((1/A750)-(1/Konstanta!$B$5))/((1/Konstanta!$B$4)-(1/Konstanta!$B$5))</f>
        <v>0.93436279906450537</v>
      </c>
      <c r="C750" s="16">
        <f t="shared" si="22"/>
        <v>22.424707177548129</v>
      </c>
      <c r="D750" s="17" t="str">
        <f t="shared" si="23"/>
        <v>~22K</v>
      </c>
    </row>
    <row r="751" spans="1:4" x14ac:dyDescent="0.25">
      <c r="A751" s="14">
        <v>17.98</v>
      </c>
      <c r="B751" s="15">
        <f>((1/A751)-(1/Konstanta!$B$5))/((1/Konstanta!$B$4)-(1/Konstanta!$B$5))</f>
        <v>0.93487040488350392</v>
      </c>
      <c r="C751" s="16">
        <f t="shared" si="22"/>
        <v>22.436889717204096</v>
      </c>
      <c r="D751" s="17" t="str">
        <f t="shared" si="23"/>
        <v>~22K</v>
      </c>
    </row>
    <row r="752" spans="1:4" x14ac:dyDescent="0.25">
      <c r="A752" s="14">
        <v>17.989999999999998</v>
      </c>
      <c r="B752" s="15">
        <f>((1/A752)-(1/Konstanta!$B$5))/((1/Konstanta!$B$4)-(1/Konstanta!$B$5))</f>
        <v>0.93537744638252551</v>
      </c>
      <c r="C752" s="16">
        <f t="shared" si="22"/>
        <v>22.449058713180612</v>
      </c>
      <c r="D752" s="17" t="str">
        <f t="shared" si="23"/>
        <v>~22K</v>
      </c>
    </row>
    <row r="753" spans="1:4" x14ac:dyDescent="0.25">
      <c r="A753" s="14">
        <v>18</v>
      </c>
      <c r="B753" s="15">
        <f>((1/A753)-(1/Konstanta!$B$5))/((1/Konstanta!$B$4)-(1/Konstanta!$B$5))</f>
        <v>0.935883924502104</v>
      </c>
      <c r="C753" s="16">
        <f t="shared" si="22"/>
        <v>22.461214188050498</v>
      </c>
      <c r="D753" s="17" t="str">
        <f t="shared" si="23"/>
        <v>~22K</v>
      </c>
    </row>
    <row r="754" spans="1:4" x14ac:dyDescent="0.25">
      <c r="A754" s="14">
        <v>18.010000000000002</v>
      </c>
      <c r="B754" s="15">
        <f>((1/A754)-(1/Konstanta!$B$5))/((1/Konstanta!$B$4)-(1/Konstanta!$B$5))</f>
        <v>0.9363898401806835</v>
      </c>
      <c r="C754" s="16">
        <f t="shared" si="22"/>
        <v>22.473356164336405</v>
      </c>
      <c r="D754" s="17" t="str">
        <f t="shared" si="23"/>
        <v>~22K</v>
      </c>
    </row>
    <row r="755" spans="1:4" x14ac:dyDescent="0.25">
      <c r="A755" s="14">
        <v>18.02</v>
      </c>
      <c r="B755" s="15">
        <f>((1/A755)-(1/Konstanta!$B$5))/((1/Konstanta!$B$4)-(1/Konstanta!$B$5))</f>
        <v>0.93689519435462498</v>
      </c>
      <c r="C755" s="16">
        <f t="shared" si="22"/>
        <v>22.485484664510999</v>
      </c>
      <c r="D755" s="17" t="str">
        <f t="shared" si="23"/>
        <v>~22K</v>
      </c>
    </row>
    <row r="756" spans="1:4" x14ac:dyDescent="0.25">
      <c r="A756" s="14">
        <v>18.03</v>
      </c>
      <c r="B756" s="15">
        <f>((1/A756)-(1/Konstanta!$B$5))/((1/Konstanta!$B$4)-(1/Konstanta!$B$5))</f>
        <v>0.93739998795821289</v>
      </c>
      <c r="C756" s="16">
        <f t="shared" si="22"/>
        <v>22.497599710997108</v>
      </c>
      <c r="D756" s="17" t="str">
        <f t="shared" si="23"/>
        <v>~22K</v>
      </c>
    </row>
    <row r="757" spans="1:4" x14ac:dyDescent="0.25">
      <c r="A757" s="14">
        <v>18.04</v>
      </c>
      <c r="B757" s="15">
        <f>((1/A757)-(1/Konstanta!$B$5))/((1/Konstanta!$B$4)-(1/Konstanta!$B$5))</f>
        <v>0.9379042219236593</v>
      </c>
      <c r="C757" s="16">
        <f t="shared" si="22"/>
        <v>22.509701326167821</v>
      </c>
      <c r="D757" s="17" t="str">
        <f t="shared" si="23"/>
        <v>~22K</v>
      </c>
    </row>
    <row r="758" spans="1:4" x14ac:dyDescent="0.25">
      <c r="A758" s="14">
        <v>18.05</v>
      </c>
      <c r="B758" s="15">
        <f>((1/A758)-(1/Konstanta!$B$5))/((1/Konstanta!$B$4)-(1/Konstanta!$B$5))</f>
        <v>0.93840789718111084</v>
      </c>
      <c r="C758" s="16">
        <f t="shared" si="22"/>
        <v>22.521789532346659</v>
      </c>
      <c r="D758" s="17" t="str">
        <f t="shared" si="23"/>
        <v>~22K</v>
      </c>
    </row>
    <row r="759" spans="1:4" x14ac:dyDescent="0.25">
      <c r="A759" s="14">
        <v>18.059999999999999</v>
      </c>
      <c r="B759" s="15">
        <f>((1/A759)-(1/Konstanta!$B$5))/((1/Konstanta!$B$4)-(1/Konstanta!$B$5))</f>
        <v>0.93891101465865356</v>
      </c>
      <c r="C759" s="16">
        <f t="shared" si="22"/>
        <v>22.533864351807686</v>
      </c>
      <c r="D759" s="17" t="str">
        <f t="shared" si="23"/>
        <v>~22K</v>
      </c>
    </row>
    <row r="760" spans="1:4" x14ac:dyDescent="0.25">
      <c r="A760" s="14">
        <v>18.07</v>
      </c>
      <c r="B760" s="15">
        <f>((1/A760)-(1/Konstanta!$B$5))/((1/Konstanta!$B$4)-(1/Konstanta!$B$5))</f>
        <v>0.93941357528231995</v>
      </c>
      <c r="C760" s="16">
        <f t="shared" si="22"/>
        <v>22.545925806775678</v>
      </c>
      <c r="D760" s="17" t="str">
        <f t="shared" si="23"/>
        <v>~22K</v>
      </c>
    </row>
    <row r="761" spans="1:4" x14ac:dyDescent="0.25">
      <c r="A761" s="14">
        <v>18.079999999999998</v>
      </c>
      <c r="B761" s="15">
        <f>((1/A761)-(1/Konstanta!$B$5))/((1/Konstanta!$B$4)-(1/Konstanta!$B$5))</f>
        <v>0.93991557997609276</v>
      </c>
      <c r="C761" s="16">
        <f t="shared" si="22"/>
        <v>22.557973919426225</v>
      </c>
      <c r="D761" s="17" t="str">
        <f t="shared" si="23"/>
        <v>~22K</v>
      </c>
    </row>
    <row r="762" spans="1:4" x14ac:dyDescent="0.25">
      <c r="A762" s="14">
        <v>18.09</v>
      </c>
      <c r="B762" s="15">
        <f>((1/A762)-(1/Konstanta!$B$5))/((1/Konstanta!$B$4)-(1/Konstanta!$B$5))</f>
        <v>0.94041702966191232</v>
      </c>
      <c r="C762" s="16">
        <f t="shared" si="22"/>
        <v>22.570008711885897</v>
      </c>
      <c r="D762" s="17" t="str">
        <f t="shared" si="23"/>
        <v>~22K</v>
      </c>
    </row>
    <row r="763" spans="1:4" x14ac:dyDescent="0.25">
      <c r="A763" s="14">
        <v>18.100000000000001</v>
      </c>
      <c r="B763" s="15">
        <f>((1/A763)-(1/Konstanta!$B$5))/((1/Konstanta!$B$4)-(1/Konstanta!$B$5))</f>
        <v>0.94091792525968121</v>
      </c>
      <c r="C763" s="16">
        <f t="shared" si="22"/>
        <v>22.58203020623235</v>
      </c>
      <c r="D763" s="17" t="str">
        <f t="shared" si="23"/>
        <v>~22K</v>
      </c>
    </row>
    <row r="764" spans="1:4" x14ac:dyDescent="0.25">
      <c r="A764" s="14">
        <v>18.11</v>
      </c>
      <c r="B764" s="15">
        <f>((1/A764)-(1/Konstanta!$B$5))/((1/Konstanta!$B$4)-(1/Konstanta!$B$5))</f>
        <v>0.94141826768727022</v>
      </c>
      <c r="C764" s="16">
        <f t="shared" si="22"/>
        <v>22.594038424494485</v>
      </c>
      <c r="D764" s="17" t="str">
        <f t="shared" si="23"/>
        <v>~22K</v>
      </c>
    </row>
    <row r="765" spans="1:4" x14ac:dyDescent="0.25">
      <c r="A765" s="14">
        <v>18.12</v>
      </c>
      <c r="B765" s="15">
        <f>((1/A765)-(1/Konstanta!$B$5))/((1/Konstanta!$B$4)-(1/Konstanta!$B$5))</f>
        <v>0.9419180578605244</v>
      </c>
      <c r="C765" s="16">
        <f t="shared" si="22"/>
        <v>22.606033388652584</v>
      </c>
      <c r="D765" s="17" t="str">
        <f t="shared" si="23"/>
        <v>~22K</v>
      </c>
    </row>
    <row r="766" spans="1:4" x14ac:dyDescent="0.25">
      <c r="A766" s="14">
        <v>18.13</v>
      </c>
      <c r="B766" s="15">
        <f>((1/A766)-(1/Konstanta!$B$5))/((1/Konstanta!$B$4)-(1/Konstanta!$B$5))</f>
        <v>0.94241729669326724</v>
      </c>
      <c r="C766" s="16">
        <f t="shared" si="22"/>
        <v>22.618015120638415</v>
      </c>
      <c r="D766" s="17" t="str">
        <f t="shared" si="23"/>
        <v>~22K</v>
      </c>
    </row>
    <row r="767" spans="1:4" x14ac:dyDescent="0.25">
      <c r="A767" s="14">
        <v>18.14</v>
      </c>
      <c r="B767" s="15">
        <f>((1/A767)-(1/Konstanta!$B$5))/((1/Konstanta!$B$4)-(1/Konstanta!$B$5))</f>
        <v>0.94291598509730834</v>
      </c>
      <c r="C767" s="16">
        <f t="shared" si="22"/>
        <v>22.6299836423354</v>
      </c>
      <c r="D767" s="17" t="str">
        <f t="shared" si="23"/>
        <v>~22K</v>
      </c>
    </row>
    <row r="768" spans="1:4" x14ac:dyDescent="0.25">
      <c r="A768" s="14">
        <v>18.149999999999999</v>
      </c>
      <c r="B768" s="15">
        <f>((1/A768)-(1/Konstanta!$B$5))/((1/Konstanta!$B$4)-(1/Konstanta!$B$5))</f>
        <v>0.94341412398244673</v>
      </c>
      <c r="C768" s="16">
        <f t="shared" si="22"/>
        <v>22.641938975578721</v>
      </c>
      <c r="D768" s="17" t="str">
        <f t="shared" si="23"/>
        <v>~22K</v>
      </c>
    </row>
    <row r="769" spans="1:4" x14ac:dyDescent="0.25">
      <c r="A769" s="14">
        <v>18.16</v>
      </c>
      <c r="B769" s="15">
        <f>((1/A769)-(1/Konstanta!$B$5))/((1/Konstanta!$B$4)-(1/Konstanta!$B$5))</f>
        <v>0.94391171425647824</v>
      </c>
      <c r="C769" s="16">
        <f t="shared" si="22"/>
        <v>22.653881142155477</v>
      </c>
      <c r="D769" s="17" t="str">
        <f t="shared" si="23"/>
        <v>~22K</v>
      </c>
    </row>
    <row r="770" spans="1:4" x14ac:dyDescent="0.25">
      <c r="A770" s="14">
        <v>18.170000000000002</v>
      </c>
      <c r="B770" s="15">
        <f>((1/A770)-(1/Konstanta!$B$5))/((1/Konstanta!$B$4)-(1/Konstanta!$B$5))</f>
        <v>0.94440875682519976</v>
      </c>
      <c r="C770" s="16">
        <f t="shared" si="22"/>
        <v>22.665810163804792</v>
      </c>
      <c r="D770" s="17" t="str">
        <f t="shared" si="23"/>
        <v>~22K</v>
      </c>
    </row>
    <row r="771" spans="1:4" x14ac:dyDescent="0.25">
      <c r="A771" s="14">
        <v>18.18</v>
      </c>
      <c r="B771" s="15">
        <f>((1/A771)-(1/Konstanta!$B$5))/((1/Konstanta!$B$4)-(1/Konstanta!$B$5))</f>
        <v>0.94490525259241553</v>
      </c>
      <c r="C771" s="16">
        <f t="shared" si="22"/>
        <v>22.677726062217971</v>
      </c>
      <c r="D771" s="17" t="str">
        <f t="shared" si="23"/>
        <v>~22K</v>
      </c>
    </row>
    <row r="772" spans="1:4" x14ac:dyDescent="0.25">
      <c r="A772" s="14">
        <v>18.190000000000001</v>
      </c>
      <c r="B772" s="15">
        <f>((1/A772)-(1/Konstanta!$B$5))/((1/Konstanta!$B$4)-(1/Konstanta!$B$5))</f>
        <v>0.94540120245994241</v>
      </c>
      <c r="C772" s="16">
        <f t="shared" ref="C772:C835" si="24">B772*24</f>
        <v>22.689628859038617</v>
      </c>
      <c r="D772" s="17" t="str">
        <f t="shared" ref="D772:D835" si="25">IF(ROUND(C772,0)=24,"24K (murni)",IF(ROUND(C772,0)&gt;=22,"~22K",IF(ROUND(C772,0)&gt;=18,"~18K",IF(ROUND(C772,0)&gt;=14,"~14K","&lt;14K"))))</f>
        <v>~22K</v>
      </c>
    </row>
    <row r="773" spans="1:4" x14ac:dyDescent="0.25">
      <c r="A773" s="14">
        <v>18.2</v>
      </c>
      <c r="B773" s="15">
        <f>((1/A773)-(1/Konstanta!$B$5))/((1/Konstanta!$B$4)-(1/Konstanta!$B$5))</f>
        <v>0.94589660732761471</v>
      </c>
      <c r="C773" s="16">
        <f t="shared" si="24"/>
        <v>22.701518575862753</v>
      </c>
      <c r="D773" s="17" t="str">
        <f t="shared" si="25"/>
        <v>~22K</v>
      </c>
    </row>
    <row r="774" spans="1:4" x14ac:dyDescent="0.25">
      <c r="A774" s="14">
        <v>18.21</v>
      </c>
      <c r="B774" s="15">
        <f>((1/A774)-(1/Konstanta!$B$5))/((1/Konstanta!$B$4)-(1/Konstanta!$B$5))</f>
        <v>0.94639146809329078</v>
      </c>
      <c r="C774" s="16">
        <f t="shared" si="24"/>
        <v>22.71339523423898</v>
      </c>
      <c r="D774" s="17" t="str">
        <f t="shared" si="25"/>
        <v>~22K</v>
      </c>
    </row>
    <row r="775" spans="1:4" x14ac:dyDescent="0.25">
      <c r="A775" s="14">
        <v>18.22</v>
      </c>
      <c r="B775" s="15">
        <f>((1/A775)-(1/Konstanta!$B$5))/((1/Konstanta!$B$4)-(1/Konstanta!$B$5))</f>
        <v>0.94688578565285719</v>
      </c>
      <c r="C775" s="16">
        <f t="shared" si="24"/>
        <v>22.725258855668571</v>
      </c>
      <c r="D775" s="17" t="str">
        <f t="shared" si="25"/>
        <v>~22K</v>
      </c>
    </row>
    <row r="776" spans="1:4" x14ac:dyDescent="0.25">
      <c r="A776" s="14">
        <v>18.23</v>
      </c>
      <c r="B776" s="15">
        <f>((1/A776)-(1/Konstanta!$B$5))/((1/Konstanta!$B$4)-(1/Konstanta!$B$5))</f>
        <v>0.94737956090023556</v>
      </c>
      <c r="C776" s="16">
        <f t="shared" si="24"/>
        <v>22.737109461605655</v>
      </c>
      <c r="D776" s="17" t="str">
        <f t="shared" si="25"/>
        <v>~22K</v>
      </c>
    </row>
    <row r="777" spans="1:4" x14ac:dyDescent="0.25">
      <c r="A777" s="14">
        <v>18.239999999999998</v>
      </c>
      <c r="B777" s="15">
        <f>((1/A777)-(1/Konstanta!$B$5))/((1/Konstanta!$B$4)-(1/Konstanta!$B$5))</f>
        <v>0.9478727947273865</v>
      </c>
      <c r="C777" s="16">
        <f t="shared" si="24"/>
        <v>22.748947073457277</v>
      </c>
      <c r="D777" s="17" t="str">
        <f t="shared" si="25"/>
        <v>~22K</v>
      </c>
    </row>
    <row r="778" spans="1:4" x14ac:dyDescent="0.25">
      <c r="A778" s="14">
        <v>18.25</v>
      </c>
      <c r="B778" s="15">
        <f>((1/A778)-(1/Konstanta!$B$5))/((1/Konstanta!$B$4)-(1/Konstanta!$B$5))</f>
        <v>0.94836548802431597</v>
      </c>
      <c r="C778" s="16">
        <f t="shared" si="24"/>
        <v>22.760771712583583</v>
      </c>
      <c r="D778" s="17" t="str">
        <f t="shared" si="25"/>
        <v>~22K</v>
      </c>
    </row>
    <row r="779" spans="1:4" x14ac:dyDescent="0.25">
      <c r="A779" s="14">
        <v>18.260000000000002</v>
      </c>
      <c r="B779" s="15">
        <f>((1/A779)-(1/Konstanta!$B$5))/((1/Konstanta!$B$4)-(1/Konstanta!$B$5))</f>
        <v>0.94885764167908015</v>
      </c>
      <c r="C779" s="16">
        <f t="shared" si="24"/>
        <v>22.772583400297925</v>
      </c>
      <c r="D779" s="17" t="str">
        <f t="shared" si="25"/>
        <v>~22K</v>
      </c>
    </row>
    <row r="780" spans="1:4" x14ac:dyDescent="0.25">
      <c r="A780" s="14">
        <v>18.27</v>
      </c>
      <c r="B780" s="15">
        <f>((1/A780)-(1/Konstanta!$B$5))/((1/Konstanta!$B$4)-(1/Konstanta!$B$5))</f>
        <v>0.94934925657779079</v>
      </c>
      <c r="C780" s="16">
        <f t="shared" si="24"/>
        <v>22.784382157866979</v>
      </c>
      <c r="D780" s="17" t="str">
        <f t="shared" si="25"/>
        <v>~22K</v>
      </c>
    </row>
    <row r="781" spans="1:4" x14ac:dyDescent="0.25">
      <c r="A781" s="14">
        <v>18.28</v>
      </c>
      <c r="B781" s="15">
        <f>((1/A781)-(1/Konstanta!$B$5))/((1/Konstanta!$B$4)-(1/Konstanta!$B$5))</f>
        <v>0.94984033360462106</v>
      </c>
      <c r="C781" s="16">
        <f t="shared" si="24"/>
        <v>22.796168006510904</v>
      </c>
      <c r="D781" s="17" t="str">
        <f t="shared" si="25"/>
        <v>~22K</v>
      </c>
    </row>
    <row r="782" spans="1:4" x14ac:dyDescent="0.25">
      <c r="A782" s="14">
        <v>18.29</v>
      </c>
      <c r="B782" s="15">
        <f>((1/A782)-(1/Konstanta!$B$5))/((1/Konstanta!$B$4)-(1/Konstanta!$B$5))</f>
        <v>0.95033087364181024</v>
      </c>
      <c r="C782" s="16">
        <f t="shared" si="24"/>
        <v>22.807940967403447</v>
      </c>
      <c r="D782" s="17" t="str">
        <f t="shared" si="25"/>
        <v>~22K</v>
      </c>
    </row>
    <row r="783" spans="1:4" x14ac:dyDescent="0.25">
      <c r="A783" s="14">
        <v>18.3</v>
      </c>
      <c r="B783" s="15">
        <f>((1/A783)-(1/Konstanta!$B$5))/((1/Konstanta!$B$4)-(1/Konstanta!$B$5))</f>
        <v>0.95082087756966915</v>
      </c>
      <c r="C783" s="16">
        <f t="shared" si="24"/>
        <v>22.81970106167206</v>
      </c>
      <c r="D783" s="17" t="str">
        <f t="shared" si="25"/>
        <v>~22K</v>
      </c>
    </row>
    <row r="784" spans="1:4" x14ac:dyDescent="0.25">
      <c r="A784" s="14">
        <v>18.309999999999999</v>
      </c>
      <c r="B784" s="15">
        <f>((1/A784)-(1/Konstanta!$B$5))/((1/Konstanta!$B$4)-(1/Konstanta!$B$5))</f>
        <v>0.95131034626658539</v>
      </c>
      <c r="C784" s="16">
        <f t="shared" si="24"/>
        <v>22.831448310398049</v>
      </c>
      <c r="D784" s="17" t="str">
        <f t="shared" si="25"/>
        <v>~22K</v>
      </c>
    </row>
    <row r="785" spans="1:4" x14ac:dyDescent="0.25">
      <c r="A785" s="14">
        <v>18.32</v>
      </c>
      <c r="B785" s="15">
        <f>((1/A785)-(1/Konstanta!$B$5))/((1/Konstanta!$B$4)-(1/Konstanta!$B$5))</f>
        <v>0.9517992806090293</v>
      </c>
      <c r="C785" s="16">
        <f t="shared" si="24"/>
        <v>22.843182734616704</v>
      </c>
      <c r="D785" s="17" t="str">
        <f t="shared" si="25"/>
        <v>~22K</v>
      </c>
    </row>
    <row r="786" spans="1:4" x14ac:dyDescent="0.25">
      <c r="A786" s="14">
        <v>18.329999999999998</v>
      </c>
      <c r="B786" s="15">
        <f>((1/A786)-(1/Konstanta!$B$5))/((1/Konstanta!$B$4)-(1/Konstanta!$B$5))</f>
        <v>0.95228768147155762</v>
      </c>
      <c r="C786" s="16">
        <f t="shared" si="24"/>
        <v>22.854904355317384</v>
      </c>
      <c r="D786" s="17" t="str">
        <f t="shared" si="25"/>
        <v>~22K</v>
      </c>
    </row>
    <row r="787" spans="1:4" x14ac:dyDescent="0.25">
      <c r="A787" s="14">
        <v>18.34</v>
      </c>
      <c r="B787" s="15">
        <f>((1/A787)-(1/Konstanta!$B$5))/((1/Konstanta!$B$4)-(1/Konstanta!$B$5))</f>
        <v>0.95277554972682055</v>
      </c>
      <c r="C787" s="16">
        <f t="shared" si="24"/>
        <v>22.866613193443694</v>
      </c>
      <c r="D787" s="17" t="str">
        <f t="shared" si="25"/>
        <v>~22K</v>
      </c>
    </row>
    <row r="788" spans="1:4" x14ac:dyDescent="0.25">
      <c r="A788" s="14">
        <v>18.350000000000001</v>
      </c>
      <c r="B788" s="15">
        <f>((1/A788)-(1/Konstanta!$B$5))/((1/Konstanta!$B$4)-(1/Konstanta!$B$5))</f>
        <v>0.95326288624556543</v>
      </c>
      <c r="C788" s="16">
        <f t="shared" si="24"/>
        <v>22.87830926989357</v>
      </c>
      <c r="D788" s="17" t="str">
        <f t="shared" si="25"/>
        <v>~22K</v>
      </c>
    </row>
    <row r="789" spans="1:4" x14ac:dyDescent="0.25">
      <c r="A789" s="14">
        <v>18.36</v>
      </c>
      <c r="B789" s="15">
        <f>((1/A789)-(1/Konstanta!$B$5))/((1/Konstanta!$B$4)-(1/Konstanta!$B$5))</f>
        <v>0.9537496918966426</v>
      </c>
      <c r="C789" s="16">
        <f t="shared" si="24"/>
        <v>22.889992605519424</v>
      </c>
      <c r="D789" s="17" t="str">
        <f t="shared" si="25"/>
        <v>~22K</v>
      </c>
    </row>
    <row r="790" spans="1:4" x14ac:dyDescent="0.25">
      <c r="A790" s="14">
        <v>18.37</v>
      </c>
      <c r="B790" s="15">
        <f>((1/A790)-(1/Konstanta!$B$5))/((1/Konstanta!$B$4)-(1/Konstanta!$B$5))</f>
        <v>0.95423596754701123</v>
      </c>
      <c r="C790" s="16">
        <f t="shared" si="24"/>
        <v>22.90166322112827</v>
      </c>
      <c r="D790" s="17" t="str">
        <f t="shared" si="25"/>
        <v>~22K</v>
      </c>
    </row>
    <row r="791" spans="1:4" x14ac:dyDescent="0.25">
      <c r="A791" s="14">
        <v>18.38</v>
      </c>
      <c r="B791" s="15">
        <f>((1/A791)-(1/Konstanta!$B$5))/((1/Konstanta!$B$4)-(1/Konstanta!$B$5))</f>
        <v>0.95472171406174278</v>
      </c>
      <c r="C791" s="16">
        <f t="shared" si="24"/>
        <v>22.913321137481827</v>
      </c>
      <c r="D791" s="17" t="str">
        <f t="shared" si="25"/>
        <v>~22K</v>
      </c>
    </row>
    <row r="792" spans="1:4" x14ac:dyDescent="0.25">
      <c r="A792" s="14">
        <v>18.39</v>
      </c>
      <c r="B792" s="15">
        <f>((1/A792)-(1/Konstanta!$B$5))/((1/Konstanta!$B$4)-(1/Konstanta!$B$5))</f>
        <v>0.95520693230402764</v>
      </c>
      <c r="C792" s="16">
        <f t="shared" si="24"/>
        <v>22.924966375296663</v>
      </c>
      <c r="D792" s="17" t="str">
        <f t="shared" si="25"/>
        <v>~22K</v>
      </c>
    </row>
    <row r="793" spans="1:4" x14ac:dyDescent="0.25">
      <c r="A793" s="14">
        <v>18.399999999999999</v>
      </c>
      <c r="B793" s="15">
        <f>((1/A793)-(1/Konstanta!$B$5))/((1/Konstanta!$B$4)-(1/Konstanta!$B$5))</f>
        <v>0.95569162313517941</v>
      </c>
      <c r="C793" s="16">
        <f t="shared" si="24"/>
        <v>22.936598955244307</v>
      </c>
      <c r="D793" s="17" t="str">
        <f t="shared" si="25"/>
        <v>~22K</v>
      </c>
    </row>
    <row r="794" spans="1:4" x14ac:dyDescent="0.25">
      <c r="A794" s="14">
        <v>18.41</v>
      </c>
      <c r="B794" s="15">
        <f>((1/A794)-(1/Konstanta!$B$5))/((1/Konstanta!$B$4)-(1/Konstanta!$B$5))</f>
        <v>0.95617578741464082</v>
      </c>
      <c r="C794" s="16">
        <f t="shared" si="24"/>
        <v>22.948218897951378</v>
      </c>
      <c r="D794" s="17" t="str">
        <f t="shared" si="25"/>
        <v>~22K</v>
      </c>
    </row>
    <row r="795" spans="1:4" x14ac:dyDescent="0.25">
      <c r="A795" s="14">
        <v>18.420000000000002</v>
      </c>
      <c r="B795" s="15">
        <f>((1/A795)-(1/Konstanta!$B$5))/((1/Konstanta!$B$4)-(1/Konstanta!$B$5))</f>
        <v>0.95665942599998788</v>
      </c>
      <c r="C795" s="16">
        <f t="shared" si="24"/>
        <v>22.959826223999709</v>
      </c>
      <c r="D795" s="17" t="str">
        <f t="shared" si="25"/>
        <v>~22K</v>
      </c>
    </row>
    <row r="796" spans="1:4" x14ac:dyDescent="0.25">
      <c r="A796" s="14">
        <v>18.43</v>
      </c>
      <c r="B796" s="15">
        <f>((1/A796)-(1/Konstanta!$B$5))/((1/Konstanta!$B$4)-(1/Konstanta!$B$5))</f>
        <v>0.95714253974693486</v>
      </c>
      <c r="C796" s="16">
        <f t="shared" si="24"/>
        <v>22.971420953926437</v>
      </c>
      <c r="D796" s="17" t="str">
        <f t="shared" si="25"/>
        <v>~22K</v>
      </c>
    </row>
    <row r="797" spans="1:4" x14ac:dyDescent="0.25">
      <c r="A797" s="14">
        <v>18.440000000000001</v>
      </c>
      <c r="B797" s="15">
        <f>((1/A797)-(1/Konstanta!$B$5))/((1/Konstanta!$B$4)-(1/Konstanta!$B$5))</f>
        <v>0.95762512950934098</v>
      </c>
      <c r="C797" s="16">
        <f t="shared" si="24"/>
        <v>22.983003108224182</v>
      </c>
      <c r="D797" s="17" t="str">
        <f t="shared" si="25"/>
        <v>~22K</v>
      </c>
    </row>
    <row r="798" spans="1:4" x14ac:dyDescent="0.25">
      <c r="A798" s="14">
        <v>18.45</v>
      </c>
      <c r="B798" s="15">
        <f>((1/A798)-(1/Konstanta!$B$5))/((1/Konstanta!$B$4)-(1/Konstanta!$B$5))</f>
        <v>0.95810719613921302</v>
      </c>
      <c r="C798" s="16">
        <f t="shared" si="24"/>
        <v>22.994572707341113</v>
      </c>
      <c r="D798" s="17" t="str">
        <f t="shared" si="25"/>
        <v>~22K</v>
      </c>
    </row>
    <row r="799" spans="1:4" x14ac:dyDescent="0.25">
      <c r="A799" s="14">
        <v>18.46</v>
      </c>
      <c r="B799" s="15">
        <f>((1/A799)-(1/Konstanta!$B$5))/((1/Konstanta!$B$4)-(1/Konstanta!$B$5))</f>
        <v>0.95858874048671272</v>
      </c>
      <c r="C799" s="16">
        <f t="shared" si="24"/>
        <v>23.006129771681106</v>
      </c>
      <c r="D799" s="17" t="str">
        <f t="shared" si="25"/>
        <v>~22K</v>
      </c>
    </row>
    <row r="800" spans="1:4" x14ac:dyDescent="0.25">
      <c r="A800" s="14">
        <v>18.47</v>
      </c>
      <c r="B800" s="15">
        <f>((1/A800)-(1/Konstanta!$B$5))/((1/Konstanta!$B$4)-(1/Konstanta!$B$5))</f>
        <v>0.95906976340015992</v>
      </c>
      <c r="C800" s="16">
        <f t="shared" si="24"/>
        <v>23.017674321603838</v>
      </c>
      <c r="D800" s="17" t="str">
        <f t="shared" si="25"/>
        <v>~22K</v>
      </c>
    </row>
    <row r="801" spans="1:4" x14ac:dyDescent="0.25">
      <c r="A801" s="14">
        <v>18.48</v>
      </c>
      <c r="B801" s="15">
        <f>((1/A801)-(1/Konstanta!$B$5))/((1/Konstanta!$B$4)-(1/Konstanta!$B$5))</f>
        <v>0.95955026572603841</v>
      </c>
      <c r="C801" s="16">
        <f t="shared" si="24"/>
        <v>23.02920637742492</v>
      </c>
      <c r="D801" s="17" t="str">
        <f t="shared" si="25"/>
        <v>~22K</v>
      </c>
    </row>
    <row r="802" spans="1:4" x14ac:dyDescent="0.25">
      <c r="A802" s="14">
        <v>18.489999999999998</v>
      </c>
      <c r="B802" s="15">
        <f>((1/A802)-(1/Konstanta!$B$5))/((1/Konstanta!$B$4)-(1/Konstanta!$B$5))</f>
        <v>0.96003024830900074</v>
      </c>
      <c r="C802" s="16">
        <f t="shared" si="24"/>
        <v>23.040725959416019</v>
      </c>
      <c r="D802" s="17" t="str">
        <f t="shared" si="25"/>
        <v>~22K</v>
      </c>
    </row>
    <row r="803" spans="1:4" x14ac:dyDescent="0.25">
      <c r="A803" s="14">
        <v>18.5</v>
      </c>
      <c r="B803" s="15">
        <f>((1/A803)-(1/Konstanta!$B$5))/((1/Konstanta!$B$4)-(1/Konstanta!$B$5))</f>
        <v>0.96050971199187352</v>
      </c>
      <c r="C803" s="16">
        <f t="shared" si="24"/>
        <v>23.052233087804964</v>
      </c>
      <c r="D803" s="17" t="str">
        <f t="shared" si="25"/>
        <v>~22K</v>
      </c>
    </row>
    <row r="804" spans="1:4" x14ac:dyDescent="0.25">
      <c r="A804" s="14">
        <v>18.510000000000002</v>
      </c>
      <c r="B804" s="15">
        <f>((1/A804)-(1/Konstanta!$B$5))/((1/Konstanta!$B$4)-(1/Konstanta!$B$5))</f>
        <v>0.96098865761566166</v>
      </c>
      <c r="C804" s="16">
        <f t="shared" si="24"/>
        <v>23.063727782775878</v>
      </c>
      <c r="D804" s="17" t="str">
        <f t="shared" si="25"/>
        <v>~22K</v>
      </c>
    </row>
    <row r="805" spans="1:4" x14ac:dyDescent="0.25">
      <c r="A805" s="14">
        <v>18.52</v>
      </c>
      <c r="B805" s="15">
        <f>((1/A805)-(1/Konstanta!$B$5))/((1/Konstanta!$B$4)-(1/Konstanta!$B$5))</f>
        <v>0.96146708601955366</v>
      </c>
      <c r="C805" s="16">
        <f t="shared" si="24"/>
        <v>23.075210064469289</v>
      </c>
      <c r="D805" s="17" t="str">
        <f t="shared" si="25"/>
        <v>~22K</v>
      </c>
    </row>
    <row r="806" spans="1:4" x14ac:dyDescent="0.25">
      <c r="A806" s="14">
        <v>18.53</v>
      </c>
      <c r="B806" s="15">
        <f>((1/A806)-(1/Konstanta!$B$5))/((1/Konstanta!$B$4)-(1/Konstanta!$B$5))</f>
        <v>0.96194499804092659</v>
      </c>
      <c r="C806" s="16">
        <f t="shared" si="24"/>
        <v>23.086679952982237</v>
      </c>
      <c r="D806" s="17" t="str">
        <f t="shared" si="25"/>
        <v>~22K</v>
      </c>
    </row>
    <row r="807" spans="1:4" x14ac:dyDescent="0.25">
      <c r="A807" s="14">
        <v>18.54</v>
      </c>
      <c r="B807" s="15">
        <f>((1/A807)-(1/Konstanta!$B$5))/((1/Konstanta!$B$4)-(1/Konstanta!$B$5))</f>
        <v>0.96242239451535083</v>
      </c>
      <c r="C807" s="16">
        <f t="shared" si="24"/>
        <v>23.098137468368421</v>
      </c>
      <c r="D807" s="17" t="str">
        <f t="shared" si="25"/>
        <v>~22K</v>
      </c>
    </row>
    <row r="808" spans="1:4" x14ac:dyDescent="0.25">
      <c r="A808" s="14">
        <v>18.55</v>
      </c>
      <c r="B808" s="15">
        <f>((1/A808)-(1/Konstanta!$B$5))/((1/Konstanta!$B$4)-(1/Konstanta!$B$5))</f>
        <v>0.96289927627659522</v>
      </c>
      <c r="C808" s="16">
        <f t="shared" si="24"/>
        <v>23.109582630638286</v>
      </c>
      <c r="D808" s="17" t="str">
        <f t="shared" si="25"/>
        <v>~22K</v>
      </c>
    </row>
    <row r="809" spans="1:4" x14ac:dyDescent="0.25">
      <c r="A809" s="14">
        <v>18.559999999999999</v>
      </c>
      <c r="B809" s="15">
        <f>((1/A809)-(1/Konstanta!$B$5))/((1/Konstanta!$B$4)-(1/Konstanta!$B$5))</f>
        <v>0.96337564415663124</v>
      </c>
      <c r="C809" s="16">
        <f t="shared" si="24"/>
        <v>23.12101545975915</v>
      </c>
      <c r="D809" s="17" t="str">
        <f t="shared" si="25"/>
        <v>~22K</v>
      </c>
    </row>
    <row r="810" spans="1:4" x14ac:dyDescent="0.25">
      <c r="A810" s="14">
        <v>18.57</v>
      </c>
      <c r="B810" s="15">
        <f>((1/A810)-(1/Konstanta!$B$5))/((1/Konstanta!$B$4)-(1/Konstanta!$B$5))</f>
        <v>0.96385149898563882</v>
      </c>
      <c r="C810" s="16">
        <f t="shared" si="24"/>
        <v>23.132435975655333</v>
      </c>
      <c r="D810" s="17" t="str">
        <f t="shared" si="25"/>
        <v>~22K</v>
      </c>
    </row>
    <row r="811" spans="1:4" x14ac:dyDescent="0.25">
      <c r="A811" s="14">
        <v>18.579999999999998</v>
      </c>
      <c r="B811" s="15">
        <f>((1/A811)-(1/Konstanta!$B$5))/((1/Konstanta!$B$4)-(1/Konstanta!$B$5))</f>
        <v>0.96432684159200999</v>
      </c>
      <c r="C811" s="16">
        <f t="shared" si="24"/>
        <v>23.143844198208239</v>
      </c>
      <c r="D811" s="17" t="str">
        <f t="shared" si="25"/>
        <v>~22K</v>
      </c>
    </row>
    <row r="812" spans="1:4" x14ac:dyDescent="0.25">
      <c r="A812" s="14">
        <v>18.59</v>
      </c>
      <c r="B812" s="15">
        <f>((1/A812)-(1/Konstanta!$B$5))/((1/Konstanta!$B$4)-(1/Konstanta!$B$5))</f>
        <v>0.96480167280235518</v>
      </c>
      <c r="C812" s="16">
        <f t="shared" si="24"/>
        <v>23.155240147256524</v>
      </c>
      <c r="D812" s="17" t="str">
        <f t="shared" si="25"/>
        <v>~22K</v>
      </c>
    </row>
    <row r="813" spans="1:4" x14ac:dyDescent="0.25">
      <c r="A813" s="14">
        <v>18.600000000000001</v>
      </c>
      <c r="B813" s="15">
        <f>((1/A813)-(1/Konstanta!$B$5))/((1/Konstanta!$B$4)-(1/Konstanta!$B$5))</f>
        <v>0.9652759934415065</v>
      </c>
      <c r="C813" s="16">
        <f t="shared" si="24"/>
        <v>23.166623842596156</v>
      </c>
      <c r="D813" s="17" t="str">
        <f t="shared" si="25"/>
        <v>~22K</v>
      </c>
    </row>
    <row r="814" spans="1:4" x14ac:dyDescent="0.25">
      <c r="A814" s="14">
        <v>18.61</v>
      </c>
      <c r="B814" s="15">
        <f>((1/A814)-(1/Konstanta!$B$5))/((1/Konstanta!$B$4)-(1/Konstanta!$B$5))</f>
        <v>0.96574980433252311</v>
      </c>
      <c r="C814" s="16">
        <f t="shared" si="24"/>
        <v>23.177995303980556</v>
      </c>
      <c r="D814" s="17" t="str">
        <f t="shared" si="25"/>
        <v>~22K</v>
      </c>
    </row>
    <row r="815" spans="1:4" x14ac:dyDescent="0.25">
      <c r="A815" s="14">
        <v>18.62</v>
      </c>
      <c r="B815" s="15">
        <f>((1/A815)-(1/Konstanta!$B$5))/((1/Konstanta!$B$4)-(1/Konstanta!$B$5))</f>
        <v>0.96622310629669661</v>
      </c>
      <c r="C815" s="16">
        <f t="shared" si="24"/>
        <v>23.189354551120719</v>
      </c>
      <c r="D815" s="17" t="str">
        <f t="shared" si="25"/>
        <v>~22K</v>
      </c>
    </row>
    <row r="816" spans="1:4" x14ac:dyDescent="0.25">
      <c r="A816" s="14">
        <v>18.63</v>
      </c>
      <c r="B816" s="15">
        <f>((1/A816)-(1/Konstanta!$B$5))/((1/Konstanta!$B$4)-(1/Konstanta!$B$5))</f>
        <v>0.96669590015355478</v>
      </c>
      <c r="C816" s="16">
        <f t="shared" si="24"/>
        <v>23.200701603685314</v>
      </c>
      <c r="D816" s="17" t="str">
        <f t="shared" si="25"/>
        <v>~22K</v>
      </c>
    </row>
    <row r="817" spans="1:4" x14ac:dyDescent="0.25">
      <c r="A817" s="14">
        <v>18.64</v>
      </c>
      <c r="B817" s="15">
        <f>((1/A817)-(1/Konstanta!$B$5))/((1/Konstanta!$B$4)-(1/Konstanta!$B$5))</f>
        <v>0.96716818672086702</v>
      </c>
      <c r="C817" s="16">
        <f t="shared" si="24"/>
        <v>23.212036481300807</v>
      </c>
      <c r="D817" s="17" t="str">
        <f t="shared" si="25"/>
        <v>~22K</v>
      </c>
    </row>
    <row r="818" spans="1:4" x14ac:dyDescent="0.25">
      <c r="A818" s="14">
        <v>18.649999999999999</v>
      </c>
      <c r="B818" s="15">
        <f>((1/A818)-(1/Konstanta!$B$5))/((1/Konstanta!$B$4)-(1/Konstanta!$B$5))</f>
        <v>0.9676399668146487</v>
      </c>
      <c r="C818" s="16">
        <f t="shared" si="24"/>
        <v>23.223359203551567</v>
      </c>
      <c r="D818" s="17" t="str">
        <f t="shared" si="25"/>
        <v>~22K</v>
      </c>
    </row>
    <row r="819" spans="1:4" x14ac:dyDescent="0.25">
      <c r="A819" s="14">
        <v>18.66</v>
      </c>
      <c r="B819" s="15">
        <f>((1/A819)-(1/Konstanta!$B$5))/((1/Konstanta!$B$4)-(1/Konstanta!$B$5))</f>
        <v>0.96811124124916581</v>
      </c>
      <c r="C819" s="16">
        <f t="shared" si="24"/>
        <v>23.234669789979979</v>
      </c>
      <c r="D819" s="17" t="str">
        <f t="shared" si="25"/>
        <v>~22K</v>
      </c>
    </row>
    <row r="820" spans="1:4" x14ac:dyDescent="0.25">
      <c r="A820" s="14">
        <v>18.670000000000002</v>
      </c>
      <c r="B820" s="15">
        <f>((1/A820)-(1/Konstanta!$B$5))/((1/Konstanta!$B$4)-(1/Konstanta!$B$5))</f>
        <v>0.96858201083694018</v>
      </c>
      <c r="C820" s="16">
        <f t="shared" si="24"/>
        <v>23.245968260086563</v>
      </c>
      <c r="D820" s="17" t="str">
        <f t="shared" si="25"/>
        <v>~22K</v>
      </c>
    </row>
    <row r="821" spans="1:4" x14ac:dyDescent="0.25">
      <c r="A821" s="14">
        <v>18.68</v>
      </c>
      <c r="B821" s="15">
        <f>((1/A821)-(1/Konstanta!$B$5))/((1/Konstanta!$B$4)-(1/Konstanta!$B$5))</f>
        <v>0.96905227638875291</v>
      </c>
      <c r="C821" s="16">
        <f t="shared" si="24"/>
        <v>23.257254633330071</v>
      </c>
      <c r="D821" s="17" t="str">
        <f t="shared" si="25"/>
        <v>~22K</v>
      </c>
    </row>
    <row r="822" spans="1:4" x14ac:dyDescent="0.25">
      <c r="A822" s="14">
        <v>18.690000000000001</v>
      </c>
      <c r="B822" s="15">
        <f>((1/A822)-(1/Konstanta!$B$5))/((1/Konstanta!$B$4)-(1/Konstanta!$B$5))</f>
        <v>0.96952203871365139</v>
      </c>
      <c r="C822" s="16">
        <f t="shared" si="24"/>
        <v>23.268528929127633</v>
      </c>
      <c r="D822" s="17" t="str">
        <f t="shared" si="25"/>
        <v>~22K</v>
      </c>
    </row>
    <row r="823" spans="1:4" x14ac:dyDescent="0.25">
      <c r="A823" s="14">
        <v>18.7</v>
      </c>
      <c r="B823" s="15">
        <f>((1/A823)-(1/Konstanta!$B$5))/((1/Konstanta!$B$4)-(1/Konstanta!$B$5))</f>
        <v>0.96999129861895073</v>
      </c>
      <c r="C823" s="16">
        <f t="shared" si="24"/>
        <v>23.279791166854817</v>
      </c>
      <c r="D823" s="17" t="str">
        <f t="shared" si="25"/>
        <v>~22K</v>
      </c>
    </row>
    <row r="824" spans="1:4" x14ac:dyDescent="0.25">
      <c r="A824" s="14">
        <v>18.71</v>
      </c>
      <c r="B824" s="15">
        <f>((1/A824)-(1/Konstanta!$B$5))/((1/Konstanta!$B$4)-(1/Konstanta!$B$5))</f>
        <v>0.97046005691024129</v>
      </c>
      <c r="C824" s="16">
        <f t="shared" si="24"/>
        <v>23.291041365845793</v>
      </c>
      <c r="D824" s="17" t="str">
        <f t="shared" si="25"/>
        <v>~22K</v>
      </c>
    </row>
    <row r="825" spans="1:4" x14ac:dyDescent="0.25">
      <c r="A825" s="14">
        <v>18.72</v>
      </c>
      <c r="B825" s="15">
        <f>((1/A825)-(1/Konstanta!$B$5))/((1/Konstanta!$B$4)-(1/Konstanta!$B$5))</f>
        <v>0.97092831439139149</v>
      </c>
      <c r="C825" s="16">
        <f t="shared" si="24"/>
        <v>23.302279545393397</v>
      </c>
      <c r="D825" s="17" t="str">
        <f t="shared" si="25"/>
        <v>~22K</v>
      </c>
    </row>
    <row r="826" spans="1:4" x14ac:dyDescent="0.25">
      <c r="A826" s="14">
        <v>18.73</v>
      </c>
      <c r="B826" s="15">
        <f>((1/A826)-(1/Konstanta!$B$5))/((1/Konstanta!$B$4)-(1/Konstanta!$B$5))</f>
        <v>0.97139607186455346</v>
      </c>
      <c r="C826" s="16">
        <f t="shared" si="24"/>
        <v>23.313505724749284</v>
      </c>
      <c r="D826" s="17" t="str">
        <f t="shared" si="25"/>
        <v>~22K</v>
      </c>
    </row>
    <row r="827" spans="1:4" x14ac:dyDescent="0.25">
      <c r="A827" s="14">
        <v>18.739999999999998</v>
      </c>
      <c r="B827" s="15">
        <f>((1/A827)-(1/Konstanta!$B$5))/((1/Konstanta!$B$4)-(1/Konstanta!$B$5))</f>
        <v>0.97186333013016646</v>
      </c>
      <c r="C827" s="16">
        <f t="shared" si="24"/>
        <v>23.324719923123993</v>
      </c>
      <c r="D827" s="17" t="str">
        <f t="shared" si="25"/>
        <v>~22K</v>
      </c>
    </row>
    <row r="828" spans="1:4" x14ac:dyDescent="0.25">
      <c r="A828" s="14">
        <v>18.75</v>
      </c>
      <c r="B828" s="15">
        <f>((1/A828)-(1/Konstanta!$B$5))/((1/Konstanta!$B$4)-(1/Konstanta!$B$5))</f>
        <v>0.97233008998696291</v>
      </c>
      <c r="C828" s="16">
        <f t="shared" si="24"/>
        <v>23.335922159687108</v>
      </c>
      <c r="D828" s="17" t="str">
        <f t="shared" si="25"/>
        <v>~22K</v>
      </c>
    </row>
    <row r="829" spans="1:4" x14ac:dyDescent="0.25">
      <c r="A829" s="14">
        <v>18.760000000000002</v>
      </c>
      <c r="B829" s="15">
        <f>((1/A829)-(1/Konstanta!$B$5))/((1/Konstanta!$B$4)-(1/Konstanta!$B$5))</f>
        <v>0.97279635223197192</v>
      </c>
      <c r="C829" s="16">
        <f t="shared" si="24"/>
        <v>23.347112453567327</v>
      </c>
      <c r="D829" s="17" t="str">
        <f t="shared" si="25"/>
        <v>~22K</v>
      </c>
    </row>
    <row r="830" spans="1:4" x14ac:dyDescent="0.25">
      <c r="A830" s="14">
        <v>18.77</v>
      </c>
      <c r="B830" s="15">
        <f>((1/A830)-(1/Konstanta!$B$5))/((1/Konstanta!$B$4)-(1/Konstanta!$B$5))</f>
        <v>0.97326211766052362</v>
      </c>
      <c r="C830" s="16">
        <f t="shared" si="24"/>
        <v>23.358290823852567</v>
      </c>
      <c r="D830" s="17" t="str">
        <f t="shared" si="25"/>
        <v>~22K</v>
      </c>
    </row>
    <row r="831" spans="1:4" x14ac:dyDescent="0.25">
      <c r="A831" s="14">
        <v>18.78</v>
      </c>
      <c r="B831" s="15">
        <f>((1/A831)-(1/Konstanta!$B$5))/((1/Konstanta!$B$4)-(1/Konstanta!$B$5))</f>
        <v>0.97372738706625483</v>
      </c>
      <c r="C831" s="16">
        <f t="shared" si="24"/>
        <v>23.369457289590116</v>
      </c>
      <c r="D831" s="17" t="str">
        <f t="shared" si="25"/>
        <v>~22K</v>
      </c>
    </row>
    <row r="832" spans="1:4" x14ac:dyDescent="0.25">
      <c r="A832" s="14">
        <v>18.79</v>
      </c>
      <c r="B832" s="15">
        <f>((1/A832)-(1/Konstanta!$B$5))/((1/Konstanta!$B$4)-(1/Konstanta!$B$5))</f>
        <v>0.97419216124111219</v>
      </c>
      <c r="C832" s="16">
        <f t="shared" si="24"/>
        <v>23.380611869786691</v>
      </c>
      <c r="D832" s="17" t="str">
        <f t="shared" si="25"/>
        <v>~22K</v>
      </c>
    </row>
    <row r="833" spans="1:4" x14ac:dyDescent="0.25">
      <c r="A833" s="14">
        <v>18.8</v>
      </c>
      <c r="B833" s="15">
        <f>((1/A833)-(1/Konstanta!$B$5))/((1/Konstanta!$B$4)-(1/Konstanta!$B$5))</f>
        <v>0.97465644097535831</v>
      </c>
      <c r="C833" s="16">
        <f t="shared" si="24"/>
        <v>23.391754583408598</v>
      </c>
      <c r="D833" s="17" t="str">
        <f t="shared" si="25"/>
        <v>~22K</v>
      </c>
    </row>
    <row r="834" spans="1:4" x14ac:dyDescent="0.25">
      <c r="A834" s="14">
        <v>18.809999999999999</v>
      </c>
      <c r="B834" s="15">
        <f>((1/A834)-(1/Konstanta!$B$5))/((1/Konstanta!$B$4)-(1/Konstanta!$B$5))</f>
        <v>0.97512022705757417</v>
      </c>
      <c r="C834" s="16">
        <f t="shared" si="24"/>
        <v>23.402885449381781</v>
      </c>
      <c r="D834" s="17" t="str">
        <f t="shared" si="25"/>
        <v>~22K</v>
      </c>
    </row>
    <row r="835" spans="1:4" x14ac:dyDescent="0.25">
      <c r="A835" s="14">
        <v>18.82</v>
      </c>
      <c r="B835" s="15">
        <f>((1/A835)-(1/Konstanta!$B$5))/((1/Konstanta!$B$4)-(1/Konstanta!$B$5))</f>
        <v>0.97558352027466566</v>
      </c>
      <c r="C835" s="16">
        <f t="shared" si="24"/>
        <v>23.414004486591978</v>
      </c>
      <c r="D835" s="17" t="str">
        <f t="shared" si="25"/>
        <v>~22K</v>
      </c>
    </row>
    <row r="836" spans="1:4" x14ac:dyDescent="0.25">
      <c r="A836" s="14">
        <v>18.829999999999998</v>
      </c>
      <c r="B836" s="15">
        <f>((1/A836)-(1/Konstanta!$B$5))/((1/Konstanta!$B$4)-(1/Konstanta!$B$5))</f>
        <v>0.97604632141186631</v>
      </c>
      <c r="C836" s="16">
        <f t="shared" ref="C836:C889" si="26">B836*24</f>
        <v>23.425111713884792</v>
      </c>
      <c r="D836" s="17" t="str">
        <f t="shared" ref="D836:D889" si="27">IF(ROUND(C836,0)=24,"24K (murni)",IF(ROUND(C836,0)&gt;=22,"~22K",IF(ROUND(C836,0)&gt;=18,"~18K",IF(ROUND(C836,0)&gt;=14,"~14K","&lt;14K"))))</f>
        <v>~22K</v>
      </c>
    </row>
    <row r="837" spans="1:4" x14ac:dyDescent="0.25">
      <c r="A837" s="14">
        <v>18.84</v>
      </c>
      <c r="B837" s="15">
        <f>((1/A837)-(1/Konstanta!$B$5))/((1/Konstanta!$B$4)-(1/Konstanta!$B$5))</f>
        <v>0.97650863125274301</v>
      </c>
      <c r="C837" s="16">
        <f t="shared" si="26"/>
        <v>23.436207150065833</v>
      </c>
      <c r="D837" s="17" t="str">
        <f t="shared" si="27"/>
        <v>~22K</v>
      </c>
    </row>
    <row r="838" spans="1:4" x14ac:dyDescent="0.25">
      <c r="A838" s="14">
        <v>18.850000000000001</v>
      </c>
      <c r="B838" s="15">
        <f>((1/A838)-(1/Konstanta!$B$5))/((1/Konstanta!$B$4)-(1/Konstanta!$B$5))</f>
        <v>0.97697045057919985</v>
      </c>
      <c r="C838" s="16">
        <f t="shared" si="26"/>
        <v>23.447290813900796</v>
      </c>
      <c r="D838" s="17" t="str">
        <f t="shared" si="27"/>
        <v>~22K</v>
      </c>
    </row>
    <row r="839" spans="1:4" x14ac:dyDescent="0.25">
      <c r="A839" s="14">
        <v>18.86</v>
      </c>
      <c r="B839" s="15">
        <f>((1/A839)-(1/Konstanta!$B$5))/((1/Konstanta!$B$4)-(1/Konstanta!$B$5))</f>
        <v>0.97743178017148202</v>
      </c>
      <c r="C839" s="16">
        <f t="shared" si="26"/>
        <v>23.458362724115567</v>
      </c>
      <c r="D839" s="17" t="str">
        <f t="shared" si="27"/>
        <v>~22K</v>
      </c>
    </row>
    <row r="840" spans="1:4" x14ac:dyDescent="0.25">
      <c r="A840" s="14">
        <v>18.87</v>
      </c>
      <c r="B840" s="15">
        <f>((1/A840)-(1/Konstanta!$B$5))/((1/Konstanta!$B$4)-(1/Konstanta!$B$5))</f>
        <v>0.97789262080818162</v>
      </c>
      <c r="C840" s="16">
        <f t="shared" si="26"/>
        <v>23.46942289939636</v>
      </c>
      <c r="D840" s="17" t="str">
        <f t="shared" si="27"/>
        <v>~22K</v>
      </c>
    </row>
    <row r="841" spans="1:4" x14ac:dyDescent="0.25">
      <c r="A841" s="14">
        <v>18.88</v>
      </c>
      <c r="B841" s="15">
        <f>((1/A841)-(1/Konstanta!$B$5))/((1/Konstanta!$B$4)-(1/Konstanta!$B$5))</f>
        <v>0.97835297326624049</v>
      </c>
      <c r="C841" s="16">
        <f t="shared" si="26"/>
        <v>23.480471358389771</v>
      </c>
      <c r="D841" s="17" t="str">
        <f t="shared" si="27"/>
        <v>~22K</v>
      </c>
    </row>
    <row r="842" spans="1:4" x14ac:dyDescent="0.25">
      <c r="A842" s="14">
        <v>18.89</v>
      </c>
      <c r="B842" s="15">
        <f>((1/A842)-(1/Konstanta!$B$5))/((1/Konstanta!$B$4)-(1/Konstanta!$B$5))</f>
        <v>0.978812838320956</v>
      </c>
      <c r="C842" s="16">
        <f t="shared" si="26"/>
        <v>23.491508119702942</v>
      </c>
      <c r="D842" s="17" t="str">
        <f t="shared" si="27"/>
        <v>~22K</v>
      </c>
    </row>
    <row r="843" spans="1:4" x14ac:dyDescent="0.25">
      <c r="A843" s="14">
        <v>18.899999999999999</v>
      </c>
      <c r="B843" s="15">
        <f>((1/A843)-(1/Konstanta!$B$5))/((1/Konstanta!$B$4)-(1/Konstanta!$B$5))</f>
        <v>0.97927221674598375</v>
      </c>
      <c r="C843" s="16">
        <f t="shared" si="26"/>
        <v>23.50253320190361</v>
      </c>
      <c r="D843" s="17" t="str">
        <f t="shared" si="27"/>
        <v>24K (murni)</v>
      </c>
    </row>
    <row r="844" spans="1:4" x14ac:dyDescent="0.25">
      <c r="A844" s="14">
        <v>18.91</v>
      </c>
      <c r="B844" s="15">
        <f>((1/A844)-(1/Konstanta!$B$5))/((1/Konstanta!$B$4)-(1/Konstanta!$B$5))</f>
        <v>0.97973110931334373</v>
      </c>
      <c r="C844" s="16">
        <f t="shared" si="26"/>
        <v>23.513546623520249</v>
      </c>
      <c r="D844" s="17" t="str">
        <f t="shared" si="27"/>
        <v>24K (murni)</v>
      </c>
    </row>
    <row r="845" spans="1:4" x14ac:dyDescent="0.25">
      <c r="A845" s="14">
        <v>18.920000000000002</v>
      </c>
      <c r="B845" s="15">
        <f>((1/A845)-(1/Konstanta!$B$5))/((1/Konstanta!$B$4)-(1/Konstanta!$B$5))</f>
        <v>0.98018951679342325</v>
      </c>
      <c r="C845" s="16">
        <f t="shared" si="26"/>
        <v>23.524548403042157</v>
      </c>
      <c r="D845" s="17" t="str">
        <f t="shared" si="27"/>
        <v>24K (murni)</v>
      </c>
    </row>
    <row r="846" spans="1:4" x14ac:dyDescent="0.25">
      <c r="A846" s="14">
        <v>18.93</v>
      </c>
      <c r="B846" s="15">
        <f>((1/A846)-(1/Konstanta!$B$5))/((1/Konstanta!$B$4)-(1/Konstanta!$B$5))</f>
        <v>0.98064743995498149</v>
      </c>
      <c r="C846" s="16">
        <f t="shared" si="26"/>
        <v>23.535538558919555</v>
      </c>
      <c r="D846" s="17" t="str">
        <f t="shared" si="27"/>
        <v>24K (murni)</v>
      </c>
    </row>
    <row r="847" spans="1:4" x14ac:dyDescent="0.25">
      <c r="A847" s="14">
        <v>18.940000000000001</v>
      </c>
      <c r="B847" s="15">
        <f>((1/A847)-(1/Konstanta!$B$5))/((1/Konstanta!$B$4)-(1/Konstanta!$B$5))</f>
        <v>0.98110487956515513</v>
      </c>
      <c r="C847" s="16">
        <f t="shared" si="26"/>
        <v>23.546517109563723</v>
      </c>
      <c r="D847" s="17" t="str">
        <f t="shared" si="27"/>
        <v>24K (murni)</v>
      </c>
    </row>
    <row r="848" spans="1:4" x14ac:dyDescent="0.25">
      <c r="A848" s="14">
        <v>18.95</v>
      </c>
      <c r="B848" s="15">
        <f>((1/A848)-(1/Konstanta!$B$5))/((1/Konstanta!$B$4)-(1/Konstanta!$B$5))</f>
        <v>0.98156183638946026</v>
      </c>
      <c r="C848" s="16">
        <f t="shared" si="26"/>
        <v>23.557484073347048</v>
      </c>
      <c r="D848" s="17" t="str">
        <f t="shared" si="27"/>
        <v>24K (murni)</v>
      </c>
    </row>
    <row r="849" spans="1:4" x14ac:dyDescent="0.25">
      <c r="A849" s="14">
        <v>18.96</v>
      </c>
      <c r="B849" s="15">
        <f>((1/A849)-(1/Konstanta!$B$5))/((1/Konstanta!$B$4)-(1/Konstanta!$B$5))</f>
        <v>0.98201831119179905</v>
      </c>
      <c r="C849" s="16">
        <f t="shared" si="26"/>
        <v>23.568439468603177</v>
      </c>
      <c r="D849" s="17" t="str">
        <f t="shared" si="27"/>
        <v>24K (murni)</v>
      </c>
    </row>
    <row r="850" spans="1:4" x14ac:dyDescent="0.25">
      <c r="A850" s="14">
        <v>18.97</v>
      </c>
      <c r="B850" s="15">
        <f>((1/A850)-(1/Konstanta!$B$5))/((1/Konstanta!$B$4)-(1/Konstanta!$B$5))</f>
        <v>0.98247430473446196</v>
      </c>
      <c r="C850" s="16">
        <f t="shared" si="26"/>
        <v>23.579383313627087</v>
      </c>
      <c r="D850" s="17" t="str">
        <f t="shared" si="27"/>
        <v>24K (murni)</v>
      </c>
    </row>
    <row r="851" spans="1:4" x14ac:dyDescent="0.25">
      <c r="A851" s="14">
        <v>18.98</v>
      </c>
      <c r="B851" s="15">
        <f>((1/A851)-(1/Konstanta!$B$5))/((1/Konstanta!$B$4)-(1/Konstanta!$B$5))</f>
        <v>0.98292981777813382</v>
      </c>
      <c r="C851" s="16">
        <f t="shared" si="26"/>
        <v>23.590315626675213</v>
      </c>
      <c r="D851" s="17" t="str">
        <f t="shared" si="27"/>
        <v>24K (murni)</v>
      </c>
    </row>
    <row r="852" spans="1:4" x14ac:dyDescent="0.25">
      <c r="A852" s="14">
        <v>18.989999999999998</v>
      </c>
      <c r="B852" s="15">
        <f>((1/A852)-(1/Konstanta!$B$5))/((1/Konstanta!$B$4)-(1/Konstanta!$B$5))</f>
        <v>0.98338485108189644</v>
      </c>
      <c r="C852" s="16">
        <f t="shared" si="26"/>
        <v>23.601236425965514</v>
      </c>
      <c r="D852" s="17" t="str">
        <f t="shared" si="27"/>
        <v>24K (murni)</v>
      </c>
    </row>
    <row r="853" spans="1:4" x14ac:dyDescent="0.25">
      <c r="A853" s="14">
        <v>19</v>
      </c>
      <c r="B853" s="15">
        <f>((1/A853)-(1/Konstanta!$B$5))/((1/Konstanta!$B$4)-(1/Konstanta!$B$5))</f>
        <v>0.98383940540323433</v>
      </c>
      <c r="C853" s="16">
        <f t="shared" si="26"/>
        <v>23.612145729677625</v>
      </c>
      <c r="D853" s="17" t="str">
        <f t="shared" si="27"/>
        <v>24K (murni)</v>
      </c>
    </row>
    <row r="854" spans="1:4" x14ac:dyDescent="0.25">
      <c r="A854" s="14">
        <v>19.010000000000002</v>
      </c>
      <c r="B854" s="15">
        <f>((1/A854)-(1/Konstanta!$B$5))/((1/Konstanta!$B$4)-(1/Konstanta!$B$5))</f>
        <v>0.9842934814980373</v>
      </c>
      <c r="C854" s="16">
        <f t="shared" si="26"/>
        <v>23.623043555952897</v>
      </c>
      <c r="D854" s="17" t="str">
        <f t="shared" si="27"/>
        <v>24K (murni)</v>
      </c>
    </row>
    <row r="855" spans="1:4" x14ac:dyDescent="0.25">
      <c r="A855" s="14">
        <v>19.02</v>
      </c>
      <c r="B855" s="15">
        <f>((1/A855)-(1/Konstanta!$B$5))/((1/Konstanta!$B$4)-(1/Konstanta!$B$5))</f>
        <v>0.98474708012060586</v>
      </c>
      <c r="C855" s="16">
        <f t="shared" si="26"/>
        <v>23.633929922894541</v>
      </c>
      <c r="D855" s="17" t="str">
        <f t="shared" si="27"/>
        <v>24K (murni)</v>
      </c>
    </row>
    <row r="856" spans="1:4" x14ac:dyDescent="0.25">
      <c r="A856" s="14">
        <v>19.03</v>
      </c>
      <c r="B856" s="15">
        <f>((1/A856)-(1/Konstanta!$B$5))/((1/Konstanta!$B$4)-(1/Konstanta!$B$5))</f>
        <v>0.98520020202365532</v>
      </c>
      <c r="C856" s="16">
        <f t="shared" si="26"/>
        <v>23.644804848567727</v>
      </c>
      <c r="D856" s="17" t="str">
        <f t="shared" si="27"/>
        <v>24K (murni)</v>
      </c>
    </row>
    <row r="857" spans="1:4" x14ac:dyDescent="0.25">
      <c r="A857" s="14">
        <v>19.04</v>
      </c>
      <c r="B857" s="15">
        <f>((1/A857)-(1/Konstanta!$B$5))/((1/Konstanta!$B$4)-(1/Konstanta!$B$5))</f>
        <v>0.98565284795831909</v>
      </c>
      <c r="C857" s="16">
        <f t="shared" si="26"/>
        <v>23.655668350999658</v>
      </c>
      <c r="D857" s="17" t="str">
        <f t="shared" si="27"/>
        <v>24K (murni)</v>
      </c>
    </row>
    <row r="858" spans="1:4" x14ac:dyDescent="0.25">
      <c r="A858" s="14">
        <v>19.05</v>
      </c>
      <c r="B858" s="15">
        <f>((1/A858)-(1/Konstanta!$B$5))/((1/Konstanta!$B$4)-(1/Konstanta!$B$5))</f>
        <v>0.9861050186741539</v>
      </c>
      <c r="C858" s="16">
        <f t="shared" si="26"/>
        <v>23.666520448179693</v>
      </c>
      <c r="D858" s="17" t="str">
        <f t="shared" si="27"/>
        <v>24K (murni)</v>
      </c>
    </row>
    <row r="859" spans="1:4" x14ac:dyDescent="0.25">
      <c r="A859" s="14">
        <v>19.059999999999999</v>
      </c>
      <c r="B859" s="15">
        <f>((1/A859)-(1/Konstanta!$B$5))/((1/Konstanta!$B$4)-(1/Konstanta!$B$5))</f>
        <v>0.98655671491914299</v>
      </c>
      <c r="C859" s="16">
        <f t="shared" si="26"/>
        <v>23.677361158059433</v>
      </c>
      <c r="D859" s="17" t="str">
        <f t="shared" si="27"/>
        <v>24K (murni)</v>
      </c>
    </row>
    <row r="860" spans="1:4" x14ac:dyDescent="0.25">
      <c r="A860" s="14">
        <v>19.07</v>
      </c>
      <c r="B860" s="15">
        <f>((1/A860)-(1/Konstanta!$B$5))/((1/Konstanta!$B$4)-(1/Konstanta!$B$5))</f>
        <v>0.98700793743970128</v>
      </c>
      <c r="C860" s="16">
        <f t="shared" si="26"/>
        <v>23.688190498552832</v>
      </c>
      <c r="D860" s="17" t="str">
        <f t="shared" si="27"/>
        <v>24K (murni)</v>
      </c>
    </row>
    <row r="861" spans="1:4" x14ac:dyDescent="0.25">
      <c r="A861" s="14">
        <v>19.079999999999998</v>
      </c>
      <c r="B861" s="15">
        <f>((1/A861)-(1/Konstanta!$B$5))/((1/Konstanta!$B$4)-(1/Konstanta!$B$5))</f>
        <v>0.98745868698067807</v>
      </c>
      <c r="C861" s="16">
        <f t="shared" si="26"/>
        <v>23.699008487536275</v>
      </c>
      <c r="D861" s="17" t="str">
        <f t="shared" si="27"/>
        <v>24K (murni)</v>
      </c>
    </row>
    <row r="862" spans="1:4" x14ac:dyDescent="0.25">
      <c r="A862" s="14">
        <v>19.09</v>
      </c>
      <c r="B862" s="15">
        <f>((1/A862)-(1/Konstanta!$B$5))/((1/Konstanta!$B$4)-(1/Konstanta!$B$5))</f>
        <v>0.98790896428536268</v>
      </c>
      <c r="C862" s="16">
        <f t="shared" si="26"/>
        <v>23.709815142848704</v>
      </c>
      <c r="D862" s="17" t="str">
        <f t="shared" si="27"/>
        <v>24K (murni)</v>
      </c>
    </row>
    <row r="863" spans="1:4" x14ac:dyDescent="0.25">
      <c r="A863" s="14">
        <v>19.100000000000001</v>
      </c>
      <c r="B863" s="15">
        <f>((1/A863)-(1/Konstanta!$B$5))/((1/Konstanta!$B$4)-(1/Konstanta!$B$5))</f>
        <v>0.98835877009548756</v>
      </c>
      <c r="C863" s="16">
        <f t="shared" si="26"/>
        <v>23.720610482291701</v>
      </c>
      <c r="D863" s="17" t="str">
        <f t="shared" si="27"/>
        <v>24K (murni)</v>
      </c>
    </row>
    <row r="864" spans="1:4" x14ac:dyDescent="0.25">
      <c r="A864" s="14">
        <v>19.11</v>
      </c>
      <c r="B864" s="15">
        <f>((1/A864)-(1/Konstanta!$B$5))/((1/Konstanta!$B$4)-(1/Konstanta!$B$5))</f>
        <v>0.98880810515123208</v>
      </c>
      <c r="C864" s="16">
        <f t="shared" si="26"/>
        <v>23.731394523629568</v>
      </c>
      <c r="D864" s="17" t="str">
        <f t="shared" si="27"/>
        <v>24K (murni)</v>
      </c>
    </row>
    <row r="865" spans="1:4" x14ac:dyDescent="0.25">
      <c r="A865" s="14">
        <v>19.12</v>
      </c>
      <c r="B865" s="15">
        <f>((1/A865)-(1/Konstanta!$B$5))/((1/Konstanta!$B$4)-(1/Konstanta!$B$5))</f>
        <v>0.98925697019122816</v>
      </c>
      <c r="C865" s="16">
        <f t="shared" si="26"/>
        <v>23.742167284589478</v>
      </c>
      <c r="D865" s="17" t="str">
        <f t="shared" si="27"/>
        <v>24K (murni)</v>
      </c>
    </row>
    <row r="866" spans="1:4" x14ac:dyDescent="0.25">
      <c r="A866" s="14">
        <v>19.13</v>
      </c>
      <c r="B866" s="15">
        <f>((1/A866)-(1/Konstanta!$B$5))/((1/Konstanta!$B$4)-(1/Konstanta!$B$5))</f>
        <v>0.98970536595256231</v>
      </c>
      <c r="C866" s="16">
        <f t="shared" si="26"/>
        <v>23.752928782861495</v>
      </c>
      <c r="D866" s="17" t="str">
        <f t="shared" si="27"/>
        <v>24K (murni)</v>
      </c>
    </row>
    <row r="867" spans="1:4" x14ac:dyDescent="0.25">
      <c r="A867" s="14">
        <v>19.14</v>
      </c>
      <c r="B867" s="15">
        <f>((1/A867)-(1/Konstanta!$B$5))/((1/Konstanta!$B$4)-(1/Konstanta!$B$5))</f>
        <v>0.99015329317078127</v>
      </c>
      <c r="C867" s="16">
        <f t="shared" si="26"/>
        <v>23.76367903609875</v>
      </c>
      <c r="D867" s="17" t="str">
        <f t="shared" si="27"/>
        <v>24K (murni)</v>
      </c>
    </row>
    <row r="868" spans="1:4" x14ac:dyDescent="0.25">
      <c r="A868" s="14">
        <v>19.149999999999999</v>
      </c>
      <c r="B868" s="15">
        <f>((1/A868)-(1/Konstanta!$B$5))/((1/Konstanta!$B$4)-(1/Konstanta!$B$5))</f>
        <v>0.99060075257989488</v>
      </c>
      <c r="C868" s="16">
        <f t="shared" si="26"/>
        <v>23.774418061917476</v>
      </c>
      <c r="D868" s="17" t="str">
        <f t="shared" si="27"/>
        <v>24K (murni)</v>
      </c>
    </row>
    <row r="869" spans="1:4" x14ac:dyDescent="0.25">
      <c r="A869" s="14">
        <v>19.16</v>
      </c>
      <c r="B869" s="15">
        <f>((1/A869)-(1/Konstanta!$B$5))/((1/Konstanta!$B$4)-(1/Konstanta!$B$5))</f>
        <v>0.99104774491238123</v>
      </c>
      <c r="C869" s="16">
        <f t="shared" si="26"/>
        <v>23.785145877897151</v>
      </c>
      <c r="D869" s="17" t="str">
        <f t="shared" si="27"/>
        <v>24K (murni)</v>
      </c>
    </row>
    <row r="870" spans="1:4" x14ac:dyDescent="0.25">
      <c r="A870" s="14">
        <v>19.170000000000002</v>
      </c>
      <c r="B870" s="15">
        <f>((1/A870)-(1/Konstanta!$B$5))/((1/Konstanta!$B$4)-(1/Konstanta!$B$5))</f>
        <v>0.99149427089918951</v>
      </c>
      <c r="C870" s="16">
        <f t="shared" si="26"/>
        <v>23.795862501580547</v>
      </c>
      <c r="D870" s="17" t="str">
        <f t="shared" si="27"/>
        <v>24K (murni)</v>
      </c>
    </row>
    <row r="871" spans="1:4" x14ac:dyDescent="0.25">
      <c r="A871" s="14">
        <v>19.18</v>
      </c>
      <c r="B871" s="15">
        <f>((1/A871)-(1/Konstanta!$B$5))/((1/Konstanta!$B$4)-(1/Konstanta!$B$5))</f>
        <v>0.99194033126974435</v>
      </c>
      <c r="C871" s="16">
        <f t="shared" si="26"/>
        <v>23.806567950473863</v>
      </c>
      <c r="D871" s="17" t="str">
        <f t="shared" si="27"/>
        <v>24K (murni)</v>
      </c>
    </row>
    <row r="872" spans="1:4" x14ac:dyDescent="0.25">
      <c r="A872" s="14">
        <v>19.190000000000001</v>
      </c>
      <c r="B872" s="15">
        <f>((1/A872)-(1/Konstanta!$B$5))/((1/Konstanta!$B$4)-(1/Konstanta!$B$5))</f>
        <v>0.9923859267519507</v>
      </c>
      <c r="C872" s="16">
        <f t="shared" si="26"/>
        <v>23.817262242046816</v>
      </c>
      <c r="D872" s="17" t="str">
        <f t="shared" si="27"/>
        <v>24K (murni)</v>
      </c>
    </row>
    <row r="873" spans="1:4" x14ac:dyDescent="0.25">
      <c r="A873" s="14">
        <v>19.2</v>
      </c>
      <c r="B873" s="15">
        <f>((1/A873)-(1/Konstanta!$B$5))/((1/Konstanta!$B$4)-(1/Konstanta!$B$5))</f>
        <v>0.99283105807219618</v>
      </c>
      <c r="C873" s="16">
        <f t="shared" si="26"/>
        <v>23.827945393732708</v>
      </c>
      <c r="D873" s="17" t="str">
        <f t="shared" si="27"/>
        <v>24K (murni)</v>
      </c>
    </row>
    <row r="874" spans="1:4" x14ac:dyDescent="0.25">
      <c r="A874" s="14">
        <v>19.21</v>
      </c>
      <c r="B874" s="15">
        <f>((1/A874)-(1/Konstanta!$B$5))/((1/Konstanta!$B$4)-(1/Konstanta!$B$5))</f>
        <v>0.99327572595535685</v>
      </c>
      <c r="C874" s="16">
        <f t="shared" si="26"/>
        <v>23.838617422928564</v>
      </c>
      <c r="D874" s="17" t="str">
        <f t="shared" si="27"/>
        <v>24K (murni)</v>
      </c>
    </row>
    <row r="875" spans="1:4" x14ac:dyDescent="0.25">
      <c r="A875" s="14">
        <v>19.22</v>
      </c>
      <c r="B875" s="15">
        <f>((1/A875)-(1/Konstanta!$B$5))/((1/Konstanta!$B$4)-(1/Konstanta!$B$5))</f>
        <v>0.99371993112479906</v>
      </c>
      <c r="C875" s="16">
        <f t="shared" si="26"/>
        <v>23.849278346995177</v>
      </c>
      <c r="D875" s="17" t="str">
        <f t="shared" si="27"/>
        <v>24K (murni)</v>
      </c>
    </row>
    <row r="876" spans="1:4" x14ac:dyDescent="0.25">
      <c r="A876" s="14">
        <v>19.23</v>
      </c>
      <c r="B876" s="15">
        <f>((1/A876)-(1/Konstanta!$B$5))/((1/Konstanta!$B$4)-(1/Konstanta!$B$5))</f>
        <v>0.99416367430238561</v>
      </c>
      <c r="C876" s="16">
        <f t="shared" si="26"/>
        <v>23.859928183257253</v>
      </c>
      <c r="D876" s="17" t="str">
        <f t="shared" si="27"/>
        <v>24K (murni)</v>
      </c>
    </row>
    <row r="877" spans="1:4" x14ac:dyDescent="0.25">
      <c r="A877" s="14">
        <v>19.239999999999998</v>
      </c>
      <c r="B877" s="15">
        <f>((1/A877)-(1/Konstanta!$B$5))/((1/Konstanta!$B$4)-(1/Konstanta!$B$5))</f>
        <v>0.99460695620847772</v>
      </c>
      <c r="C877" s="16">
        <f t="shared" si="26"/>
        <v>23.870566949003464</v>
      </c>
      <c r="D877" s="17" t="str">
        <f t="shared" si="27"/>
        <v>24K (murni)</v>
      </c>
    </row>
    <row r="878" spans="1:4" x14ac:dyDescent="0.25">
      <c r="A878" s="14">
        <v>19.25</v>
      </c>
      <c r="B878" s="15">
        <f>((1/A878)-(1/Konstanta!$B$5))/((1/Konstanta!$B$4)-(1/Konstanta!$B$5))</f>
        <v>0.99504977756194002</v>
      </c>
      <c r="C878" s="16">
        <f t="shared" si="26"/>
        <v>23.88119466148656</v>
      </c>
      <c r="D878" s="17" t="str">
        <f t="shared" si="27"/>
        <v>24K (murni)</v>
      </c>
    </row>
    <row r="879" spans="1:4" x14ac:dyDescent="0.25">
      <c r="A879" s="14">
        <v>19.260000000000002</v>
      </c>
      <c r="B879" s="15">
        <f>((1/A879)-(1/Konstanta!$B$5))/((1/Konstanta!$B$4)-(1/Konstanta!$B$5))</f>
        <v>0.99549213908014456</v>
      </c>
      <c r="C879" s="16">
        <f t="shared" si="26"/>
        <v>23.891811337923471</v>
      </c>
      <c r="D879" s="17" t="str">
        <f t="shared" si="27"/>
        <v>24K (murni)</v>
      </c>
    </row>
    <row r="880" spans="1:4" x14ac:dyDescent="0.25">
      <c r="A880" s="14">
        <v>19.27</v>
      </c>
      <c r="B880" s="15">
        <f>((1/A880)-(1/Konstanta!$B$5))/((1/Konstanta!$B$4)-(1/Konstanta!$B$5))</f>
        <v>0.99593404147897346</v>
      </c>
      <c r="C880" s="16">
        <f t="shared" si="26"/>
        <v>23.902416995495365</v>
      </c>
      <c r="D880" s="17" t="str">
        <f t="shared" si="27"/>
        <v>24K (murni)</v>
      </c>
    </row>
    <row r="881" spans="1:4" x14ac:dyDescent="0.25">
      <c r="A881" s="14">
        <v>19.28</v>
      </c>
      <c r="B881" s="15">
        <f>((1/A881)-(1/Konstanta!$B$5))/((1/Konstanta!$B$4)-(1/Konstanta!$B$5))</f>
        <v>0.99637548547282451</v>
      </c>
      <c r="C881" s="16">
        <f t="shared" si="26"/>
        <v>23.913011651347787</v>
      </c>
      <c r="D881" s="17" t="str">
        <f t="shared" si="27"/>
        <v>24K (murni)</v>
      </c>
    </row>
    <row r="882" spans="1:4" x14ac:dyDescent="0.25">
      <c r="A882" s="14">
        <v>19.29</v>
      </c>
      <c r="B882" s="15">
        <f>((1/A882)-(1/Konstanta!$B$5))/((1/Konstanta!$B$4)-(1/Konstanta!$B$5))</f>
        <v>0.9968164717746133</v>
      </c>
      <c r="C882" s="16">
        <f t="shared" si="26"/>
        <v>23.923595322590721</v>
      </c>
      <c r="D882" s="17" t="str">
        <f t="shared" si="27"/>
        <v>24K (murni)</v>
      </c>
    </row>
    <row r="883" spans="1:4" x14ac:dyDescent="0.25">
      <c r="A883" s="14">
        <v>19.3</v>
      </c>
      <c r="B883" s="15">
        <f>((1/A883)-(1/Konstanta!$B$5))/((1/Konstanta!$B$4)-(1/Konstanta!$B$5))</f>
        <v>0.99725700109577864</v>
      </c>
      <c r="C883" s="16">
        <f t="shared" si="26"/>
        <v>23.934168026298686</v>
      </c>
      <c r="D883" s="17" t="str">
        <f t="shared" si="27"/>
        <v>24K (murni)</v>
      </c>
    </row>
    <row r="884" spans="1:4" x14ac:dyDescent="0.25">
      <c r="A884" s="14">
        <v>19.309999999999999</v>
      </c>
      <c r="B884" s="15">
        <f>((1/A884)-(1/Konstanta!$B$5))/((1/Konstanta!$B$4)-(1/Konstanta!$B$5))</f>
        <v>0.99769707414628483</v>
      </c>
      <c r="C884" s="16">
        <f t="shared" si="26"/>
        <v>23.944729779510837</v>
      </c>
      <c r="D884" s="17" t="str">
        <f t="shared" si="27"/>
        <v>24K (murni)</v>
      </c>
    </row>
    <row r="885" spans="1:4" x14ac:dyDescent="0.25">
      <c r="A885" s="18">
        <v>19.32</v>
      </c>
      <c r="B885" s="19">
        <f>((1/A885)-(1/Konstanta!$B$5))/((1/Konstanta!$B$4)-(1/Konstanta!$B$5))</f>
        <v>0.99813669163462726</v>
      </c>
      <c r="C885" s="20">
        <f t="shared" si="26"/>
        <v>23.955280599231052</v>
      </c>
      <c r="D885" s="21" t="str">
        <f t="shared" si="27"/>
        <v>24K (murni)</v>
      </c>
    </row>
    <row r="886" spans="1:4" x14ac:dyDescent="0.25">
      <c r="A886" s="14">
        <v>19.329999999999998</v>
      </c>
      <c r="B886" s="15">
        <f>((1/A886)-(1/Konstanta!$B$5))/((1/Konstanta!$B$4)-(1/Konstanta!$B$5))</f>
        <v>0.99857585426783402</v>
      </c>
      <c r="C886" s="16">
        <f t="shared" si="26"/>
        <v>23.965820502428016</v>
      </c>
      <c r="D886" s="17" t="str">
        <f t="shared" si="27"/>
        <v>24K (murni)</v>
      </c>
    </row>
    <row r="887" spans="1:4" x14ac:dyDescent="0.25">
      <c r="A887" s="14">
        <v>19.34</v>
      </c>
      <c r="B887" s="15">
        <f>((1/A887)-(1/Konstanta!$B$5))/((1/Konstanta!$B$4)-(1/Konstanta!$B$5))</f>
        <v>0.99901456275147205</v>
      </c>
      <c r="C887" s="16">
        <f t="shared" si="26"/>
        <v>23.97634950603533</v>
      </c>
      <c r="D887" s="17" t="str">
        <f t="shared" si="27"/>
        <v>24K (murni)</v>
      </c>
    </row>
    <row r="888" spans="1:4" x14ac:dyDescent="0.25">
      <c r="A888" s="14">
        <v>19.350000000000001</v>
      </c>
      <c r="B888" s="15">
        <f>((1/A888)-(1/Konstanta!$B$5))/((1/Konstanta!$B$4)-(1/Konstanta!$B$5))</f>
        <v>0.9994528177896489</v>
      </c>
      <c r="C888" s="16">
        <f t="shared" si="26"/>
        <v>23.986867626951572</v>
      </c>
      <c r="D888" s="17" t="str">
        <f t="shared" si="27"/>
        <v>24K (murni)</v>
      </c>
    </row>
    <row r="889" spans="1:4" x14ac:dyDescent="0.25">
      <c r="A889" s="18">
        <v>19.36</v>
      </c>
      <c r="B889" s="19">
        <f>((1/A889)-(1/Konstanta!$B$5))/((1/Konstanta!$B$4)-(1/Konstanta!$B$5))</f>
        <v>0.99989062008501761</v>
      </c>
      <c r="C889" s="20">
        <f t="shared" si="26"/>
        <v>23.997374882040422</v>
      </c>
      <c r="D889" s="21" t="str">
        <f t="shared" si="27"/>
        <v>24K (murni)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7"/>
  <sheetViews>
    <sheetView showGridLines="0" zoomScaleNormal="100" workbookViewId="0">
      <selection activeCell="B9" sqref="B9"/>
    </sheetView>
  </sheetViews>
  <sheetFormatPr defaultColWidth="8.7109375" defaultRowHeight="15" x14ac:dyDescent="0.25"/>
  <cols>
    <col min="1" max="1" width="32" customWidth="1"/>
    <col min="2" max="2" width="18" customWidth="1"/>
    <col min="3" max="3" width="40" customWidth="1"/>
  </cols>
  <sheetData>
    <row r="1" spans="1:3" ht="18" x14ac:dyDescent="0.25">
      <c r="A1" s="40" t="s">
        <v>46</v>
      </c>
      <c r="B1" s="40"/>
      <c r="C1" s="40"/>
    </row>
    <row r="3" spans="1:3" x14ac:dyDescent="0.25">
      <c r="A3" s="41" t="s">
        <v>47</v>
      </c>
      <c r="B3" s="41"/>
      <c r="C3" s="41"/>
    </row>
    <row r="4" spans="1:3" ht="18" x14ac:dyDescent="0.25">
      <c r="A4" s="22" t="s">
        <v>48</v>
      </c>
      <c r="B4" s="23">
        <v>10</v>
      </c>
      <c r="C4" s="2" t="s">
        <v>49</v>
      </c>
    </row>
    <row r="5" spans="1:3" ht="18" x14ac:dyDescent="0.25">
      <c r="A5" s="24" t="s">
        <v>50</v>
      </c>
      <c r="B5" s="23">
        <v>9.4499999999999993</v>
      </c>
      <c r="C5" s="2" t="s">
        <v>51</v>
      </c>
    </row>
    <row r="7" spans="1:3" x14ac:dyDescent="0.25">
      <c r="A7" s="41" t="s">
        <v>52</v>
      </c>
      <c r="B7" s="41"/>
      <c r="C7" s="41"/>
    </row>
    <row r="8" spans="1:3" ht="20.25" x14ac:dyDescent="0.3">
      <c r="A8" s="22" t="s">
        <v>39</v>
      </c>
      <c r="B8" s="25">
        <f>10.5</f>
        <v>10.5</v>
      </c>
    </row>
    <row r="9" spans="1:3" ht="20.25" x14ac:dyDescent="0.3">
      <c r="A9" s="22" t="s">
        <v>40</v>
      </c>
      <c r="B9" s="26">
        <f>((1/B8)-(1/Konstanta!$B$5))/((1/Konstanta!$B$4)-(1/Konstanta!$B$5))</f>
        <v>0.285059540843906</v>
      </c>
    </row>
    <row r="10" spans="1:3" ht="20.25" x14ac:dyDescent="0.3">
      <c r="A10" s="22" t="s">
        <v>53</v>
      </c>
      <c r="B10" s="27">
        <f>B9*24</f>
        <v>6.8414289802537436</v>
      </c>
    </row>
    <row r="12" spans="1:3" x14ac:dyDescent="0.25">
      <c r="A12" s="28" t="s">
        <v>54</v>
      </c>
    </row>
    <row r="13" spans="1:3" ht="19.5" customHeight="1" x14ac:dyDescent="0.25">
      <c r="A13" s="42" t="str">
        <f>IF(B5&gt;=B4,"⚠ Berat di air harus LEBIH KECIL dari berat di udara — cek ulang timbangan",IF(B9&gt;1.005,"⚠ Kadar &gt;100% — kemungkinan SG melebihi emas murni, cek kalibrasi/timbangan",IF(B10&gt;=23.9,"Setara 24K — emas murni",IF(B10&gt;=21.5,"Setara ~22K",IF(B10&gt;=17.5,"Setara ~18K",IF(B10&gt;=13.5,"Setara ~14K","Di bawah 14K, kadar rendah"))))))</f>
        <v>Di bawah 14K, kadar rendah</v>
      </c>
      <c r="B13" s="42"/>
      <c r="C13" s="42"/>
    </row>
    <row r="15" spans="1:3" x14ac:dyDescent="0.25">
      <c r="A15" s="2" t="s">
        <v>55</v>
      </c>
    </row>
    <row r="16" spans="1:3" x14ac:dyDescent="0.25">
      <c r="A16" s="2" t="s">
        <v>56</v>
      </c>
    </row>
    <row r="17" spans="1:1" x14ac:dyDescent="0.25">
      <c r="A17" s="2" t="s">
        <v>57</v>
      </c>
    </row>
  </sheetData>
  <mergeCells count="4">
    <mergeCell ref="A1:C1"/>
    <mergeCell ref="A3:C3"/>
    <mergeCell ref="A7:C7"/>
    <mergeCell ref="A13:C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26E73-664F-4E48-9DAC-0B6538D883EE}">
  <sheetPr>
    <pageSetUpPr fitToPage="1"/>
  </sheetPr>
  <dimension ref="A1:AK51"/>
  <sheetViews>
    <sheetView tabSelected="1" zoomScale="35" workbookViewId="0">
      <selection activeCell="AK1" sqref="T1:AK51"/>
    </sheetView>
  </sheetViews>
  <sheetFormatPr defaultColWidth="9.7109375" defaultRowHeight="15.75" x14ac:dyDescent="0.25"/>
  <cols>
    <col min="1" max="16384" width="9.7109375" style="31"/>
  </cols>
  <sheetData>
    <row r="1" spans="1:37" ht="16.5" thickBot="1" x14ac:dyDescent="0.3">
      <c r="A1" s="29" t="s">
        <v>58</v>
      </c>
      <c r="B1" s="30" t="s">
        <v>509</v>
      </c>
      <c r="C1" s="29" t="s">
        <v>58</v>
      </c>
      <c r="D1" s="30" t="s">
        <v>509</v>
      </c>
      <c r="E1" s="29" t="s">
        <v>58</v>
      </c>
      <c r="F1" s="30" t="s">
        <v>509</v>
      </c>
      <c r="G1" s="29" t="s">
        <v>58</v>
      </c>
      <c r="H1" s="30" t="s">
        <v>509</v>
      </c>
      <c r="I1" s="29" t="s">
        <v>58</v>
      </c>
      <c r="J1" s="30" t="s">
        <v>509</v>
      </c>
      <c r="K1" s="29" t="s">
        <v>58</v>
      </c>
      <c r="L1" s="30" t="s">
        <v>509</v>
      </c>
      <c r="M1" s="29" t="s">
        <v>58</v>
      </c>
      <c r="N1" s="30" t="s">
        <v>509</v>
      </c>
      <c r="O1" s="29" t="s">
        <v>58</v>
      </c>
      <c r="P1" s="30" t="s">
        <v>509</v>
      </c>
      <c r="Q1" s="29" t="s">
        <v>58</v>
      </c>
      <c r="R1" s="30" t="s">
        <v>509</v>
      </c>
      <c r="T1" s="29" t="s">
        <v>58</v>
      </c>
      <c r="U1" s="30" t="s">
        <v>509</v>
      </c>
      <c r="V1" s="29" t="s">
        <v>58</v>
      </c>
      <c r="W1" s="30" t="s">
        <v>509</v>
      </c>
      <c r="X1" s="29" t="s">
        <v>58</v>
      </c>
      <c r="Y1" s="30" t="s">
        <v>509</v>
      </c>
      <c r="Z1" s="29" t="s">
        <v>58</v>
      </c>
      <c r="AA1" s="30" t="s">
        <v>509</v>
      </c>
      <c r="AB1" s="29" t="s">
        <v>58</v>
      </c>
      <c r="AC1" s="30" t="s">
        <v>509</v>
      </c>
      <c r="AD1" s="29" t="s">
        <v>58</v>
      </c>
      <c r="AE1" s="30" t="s">
        <v>509</v>
      </c>
      <c r="AF1" s="29" t="s">
        <v>58</v>
      </c>
      <c r="AG1" s="30" t="s">
        <v>509</v>
      </c>
      <c r="AH1" s="29" t="s">
        <v>58</v>
      </c>
      <c r="AI1" s="30" t="s">
        <v>509</v>
      </c>
      <c r="AJ1" s="29" t="s">
        <v>58</v>
      </c>
      <c r="AK1" s="30" t="s">
        <v>509</v>
      </c>
    </row>
    <row r="2" spans="1:37" x14ac:dyDescent="0.25">
      <c r="A2" s="32" t="s">
        <v>108</v>
      </c>
      <c r="B2" s="33">
        <v>0.285059540843906</v>
      </c>
      <c r="C2" s="32" t="s">
        <v>109</v>
      </c>
      <c r="D2" s="33">
        <v>0.35605856451570927</v>
      </c>
      <c r="E2" s="32" t="s">
        <v>159</v>
      </c>
      <c r="F2" s="34">
        <v>0.42088376004213857</v>
      </c>
      <c r="G2" s="32" t="s">
        <v>209</v>
      </c>
      <c r="H2" s="34">
        <v>0.48030685594136541</v>
      </c>
      <c r="I2" s="32" t="s">
        <v>210</v>
      </c>
      <c r="J2" s="34">
        <v>0.53497610416865393</v>
      </c>
      <c r="K2" s="32" t="s">
        <v>211</v>
      </c>
      <c r="L2" s="34">
        <v>0.58544002560922803</v>
      </c>
      <c r="M2" s="32" t="s">
        <v>212</v>
      </c>
      <c r="N2" s="34">
        <v>0.6321658787949449</v>
      </c>
      <c r="O2" s="32" t="s">
        <v>213</v>
      </c>
      <c r="P2" s="34">
        <v>0.67555417103882476</v>
      </c>
      <c r="Q2" s="32" t="s">
        <v>214</v>
      </c>
      <c r="R2" s="34">
        <v>0.71595016726588534</v>
      </c>
      <c r="T2" s="32" t="s">
        <v>510</v>
      </c>
      <c r="U2" s="33">
        <f>'Tabel Kadar Emas'!B453</f>
        <v>0.75365309707780848</v>
      </c>
      <c r="V2" s="32" t="s">
        <v>561</v>
      </c>
      <c r="W2" s="33">
        <f>'Tabel Kadar Emas'!B503</f>
        <v>0.78892357980509153</v>
      </c>
      <c r="X2" s="32" t="s">
        <v>610</v>
      </c>
      <c r="Y2" s="34">
        <f>'Tabel Kadar Emas'!B553</f>
        <v>0.82198965736191931</v>
      </c>
      <c r="Z2" s="32" t="s">
        <v>661</v>
      </c>
      <c r="AA2" s="34">
        <f>'Tabel Kadar Emas'!B603</f>
        <v>0.85305173021833325</v>
      </c>
      <c r="AB2" s="32" t="s">
        <v>710</v>
      </c>
      <c r="AC2" s="34">
        <f>'Tabel Kadar Emas'!B653</f>
        <v>0.88228662231848765</v>
      </c>
      <c r="AD2" s="32" t="s">
        <v>760</v>
      </c>
      <c r="AE2" s="34">
        <f>'Tabel Kadar Emas'!B703</f>
        <v>0.90985094915577602</v>
      </c>
      <c r="AF2" s="32" t="s">
        <v>810</v>
      </c>
      <c r="AG2" s="34">
        <f>'Tabel Kadar Emas'!B753</f>
        <v>0.935883924502104</v>
      </c>
      <c r="AH2" s="32" t="s">
        <v>860</v>
      </c>
      <c r="AI2" s="34">
        <f>'Tabel Kadar Emas'!B803</f>
        <v>0.96050971199187352</v>
      </c>
      <c r="AJ2" s="32" t="s">
        <v>910</v>
      </c>
      <c r="AK2" s="34">
        <f>'Tabel Kadar Emas'!B853</f>
        <v>0.98383940540323433</v>
      </c>
    </row>
    <row r="3" spans="1:37" x14ac:dyDescent="0.25">
      <c r="A3" s="32" t="s">
        <v>59</v>
      </c>
      <c r="B3" s="33">
        <v>0.28654572402257339</v>
      </c>
      <c r="C3" s="32" t="s">
        <v>110</v>
      </c>
      <c r="D3" s="33">
        <v>0.3574127693268882</v>
      </c>
      <c r="E3" s="32" t="s">
        <v>160</v>
      </c>
      <c r="F3" s="34">
        <v>0.42212281677678792</v>
      </c>
      <c r="G3" s="32" t="s">
        <v>215</v>
      </c>
      <c r="H3" s="34">
        <v>0.48144485028414813</v>
      </c>
      <c r="I3" s="32" t="s">
        <v>216</v>
      </c>
      <c r="J3" s="34">
        <v>0.53602491468620372</v>
      </c>
      <c r="K3" s="32" t="s">
        <v>217</v>
      </c>
      <c r="L3" s="34">
        <v>0.58640973970301324</v>
      </c>
      <c r="M3" s="32" t="s">
        <v>218</v>
      </c>
      <c r="N3" s="34">
        <v>0.63306511801243448</v>
      </c>
      <c r="O3" s="32" t="s">
        <v>219</v>
      </c>
      <c r="P3" s="34">
        <v>0.67639034797714348</v>
      </c>
      <c r="Q3" s="32" t="s">
        <v>220</v>
      </c>
      <c r="R3" s="34">
        <v>0.71672969028060451</v>
      </c>
      <c r="T3" s="32" t="s">
        <v>512</v>
      </c>
      <c r="U3" s="33">
        <f>'Tabel Kadar Emas'!B454</f>
        <v>0.75438153476238257</v>
      </c>
      <c r="V3" s="32" t="s">
        <v>562</v>
      </c>
      <c r="W3" s="33">
        <f>'Tabel Kadar Emas'!B504</f>
        <v>0.7896057941711897</v>
      </c>
      <c r="X3" s="32" t="s">
        <v>611</v>
      </c>
      <c r="Y3" s="34">
        <f>'Tabel Kadar Emas'!B554</f>
        <v>0.82262991245514971</v>
      </c>
      <c r="Z3" s="32" t="s">
        <v>660</v>
      </c>
      <c r="AA3" s="34">
        <f>'Tabel Kadar Emas'!B604</f>
        <v>0.85365378129731895</v>
      </c>
      <c r="AB3" s="32" t="s">
        <v>711</v>
      </c>
      <c r="AC3" s="34">
        <f>'Tabel Kadar Emas'!B654</f>
        <v>0.88285378953736204</v>
      </c>
      <c r="AD3" s="32" t="s">
        <v>761</v>
      </c>
      <c r="AE3" s="34">
        <f>'Tabel Kadar Emas'!B704</f>
        <v>0.91038617880310213</v>
      </c>
      <c r="AF3" s="32" t="s">
        <v>811</v>
      </c>
      <c r="AG3" s="34">
        <f>'Tabel Kadar Emas'!B754</f>
        <v>0.9363898401806835</v>
      </c>
      <c r="AH3" s="32" t="s">
        <v>861</v>
      </c>
      <c r="AI3" s="34">
        <f>'Tabel Kadar Emas'!B804</f>
        <v>0.96098865761566166</v>
      </c>
      <c r="AJ3" s="32" t="s">
        <v>911</v>
      </c>
      <c r="AK3" s="34">
        <f>'Tabel Kadar Emas'!B854</f>
        <v>0.9842934814980373</v>
      </c>
    </row>
    <row r="4" spans="1:37" x14ac:dyDescent="0.25">
      <c r="A4" s="32" t="s">
        <v>60</v>
      </c>
      <c r="B4" s="33">
        <v>0.28802908175793557</v>
      </c>
      <c r="C4" s="32" t="s">
        <v>111</v>
      </c>
      <c r="D4" s="33">
        <v>0.35876451641608659</v>
      </c>
      <c r="E4" s="32" t="s">
        <v>161</v>
      </c>
      <c r="F4" s="34">
        <v>0.42335972237127306</v>
      </c>
      <c r="G4" s="32" t="s">
        <v>221</v>
      </c>
      <c r="H4" s="34">
        <v>0.48258095112552857</v>
      </c>
      <c r="I4" s="32" t="s">
        <v>269</v>
      </c>
      <c r="J4" s="34">
        <v>0.5370720497875916</v>
      </c>
      <c r="K4" s="32" t="s">
        <v>317</v>
      </c>
      <c r="L4" s="34">
        <v>0.58737796422061717</v>
      </c>
      <c r="M4" s="32" t="s">
        <v>365</v>
      </c>
      <c r="N4" s="34">
        <v>0.63396302699439544</v>
      </c>
      <c r="O4" s="32" t="s">
        <v>413</v>
      </c>
      <c r="P4" s="34">
        <v>0.67722533208102831</v>
      </c>
      <c r="Q4" s="32" t="s">
        <v>461</v>
      </c>
      <c r="R4" s="34">
        <v>0.71750813957216308</v>
      </c>
      <c r="T4" s="32" t="s">
        <v>513</v>
      </c>
      <c r="U4" s="33">
        <f>'Tabel Kadar Emas'!B455</f>
        <v>0.75510900248998658</v>
      </c>
      <c r="V4" s="32" t="s">
        <v>563</v>
      </c>
      <c r="W4" s="33">
        <f>'Tabel Kadar Emas'!B505</f>
        <v>0.79028712939506363</v>
      </c>
      <c r="X4" s="32" t="s">
        <v>612</v>
      </c>
      <c r="Y4" s="34">
        <f>'Tabel Kadar Emas'!B555</f>
        <v>0.82326936822866292</v>
      </c>
      <c r="Z4" s="32" t="s">
        <v>662</v>
      </c>
      <c r="AA4" s="34">
        <f>'Tabel Kadar Emas'!B605</f>
        <v>0.85425510350090617</v>
      </c>
      <c r="AB4" s="32" t="s">
        <v>712</v>
      </c>
      <c r="AC4" s="34">
        <f>'Tabel Kadar Emas'!B655</f>
        <v>0.88342029028476854</v>
      </c>
      <c r="AD4" s="32" t="s">
        <v>762</v>
      </c>
      <c r="AE4" s="34">
        <f>'Tabel Kadar Emas'!B705</f>
        <v>0.91092079745767984</v>
      </c>
      <c r="AF4" s="32" t="s">
        <v>812</v>
      </c>
      <c r="AG4" s="34">
        <f>'Tabel Kadar Emas'!B755</f>
        <v>0.93689519435462498</v>
      </c>
      <c r="AH4" s="32" t="s">
        <v>862</v>
      </c>
      <c r="AI4" s="34">
        <f>'Tabel Kadar Emas'!B805</f>
        <v>0.96146708601955366</v>
      </c>
      <c r="AJ4" s="32" t="s">
        <v>912</v>
      </c>
      <c r="AK4" s="34">
        <f>'Tabel Kadar Emas'!B855</f>
        <v>0.98474708012060586</v>
      </c>
    </row>
    <row r="5" spans="1:37" x14ac:dyDescent="0.25">
      <c r="A5" s="32" t="s">
        <v>61</v>
      </c>
      <c r="B5" s="33">
        <v>0.28950962209968834</v>
      </c>
      <c r="C5" s="32" t="s">
        <v>112</v>
      </c>
      <c r="D5" s="33">
        <v>0.36011381246795199</v>
      </c>
      <c r="E5" s="32" t="s">
        <v>162</v>
      </c>
      <c r="F5" s="34">
        <v>0.42459448242266268</v>
      </c>
      <c r="G5" s="32" t="s">
        <v>222</v>
      </c>
      <c r="H5" s="34">
        <v>0.48371516318745555</v>
      </c>
      <c r="I5" s="32" t="s">
        <v>270</v>
      </c>
      <c r="J5" s="34">
        <v>0.53811751348418846</v>
      </c>
      <c r="K5" s="32" t="s">
        <v>318</v>
      </c>
      <c r="L5" s="34">
        <v>0.58834470259160943</v>
      </c>
      <c r="M5" s="32" t="s">
        <v>366</v>
      </c>
      <c r="N5" s="34">
        <v>0.63485960869035196</v>
      </c>
      <c r="O5" s="32" t="s">
        <v>414</v>
      </c>
      <c r="P5" s="34">
        <v>0.67805912590108719</v>
      </c>
      <c r="Q5" s="32" t="s">
        <v>462</v>
      </c>
      <c r="R5" s="34">
        <v>0.71828551735747037</v>
      </c>
      <c r="T5" s="32" t="s">
        <v>514</v>
      </c>
      <c r="U5" s="33">
        <f>'Tabel Kadar Emas'!B456</f>
        <v>0.75583550219666218</v>
      </c>
      <c r="V5" s="32" t="s">
        <v>564</v>
      </c>
      <c r="W5" s="33">
        <f>'Tabel Kadar Emas'!B506</f>
        <v>0.79096758717499194</v>
      </c>
      <c r="X5" s="32" t="s">
        <v>613</v>
      </c>
      <c r="Y5" s="34">
        <f>'Tabel Kadar Emas'!B556</f>
        <v>0.8239080261783791</v>
      </c>
      <c r="Z5" s="32" t="s">
        <v>663</v>
      </c>
      <c r="AA5" s="34">
        <f>'Tabel Kadar Emas'!B606</f>
        <v>0.85485569815191809</v>
      </c>
      <c r="AB5" s="32" t="s">
        <v>713</v>
      </c>
      <c r="AC5" s="34">
        <f>'Tabel Kadar Emas'!B656</f>
        <v>0.8839861257347621</v>
      </c>
      <c r="AD5" s="32" t="s">
        <v>763</v>
      </c>
      <c r="AE5" s="34">
        <f>'Tabel Kadar Emas'!B706</f>
        <v>0.91145480616513341</v>
      </c>
      <c r="AF5" s="32" t="s">
        <v>813</v>
      </c>
      <c r="AG5" s="34">
        <f>'Tabel Kadar Emas'!B756</f>
        <v>0.93739998795821289</v>
      </c>
      <c r="AH5" s="32" t="s">
        <v>863</v>
      </c>
      <c r="AI5" s="34">
        <f>'Tabel Kadar Emas'!B806</f>
        <v>0.96194499804092659</v>
      </c>
      <c r="AJ5" s="32" t="s">
        <v>913</v>
      </c>
      <c r="AK5" s="34">
        <f>'Tabel Kadar Emas'!B856</f>
        <v>0.98520020202365532</v>
      </c>
    </row>
    <row r="6" spans="1:37" x14ac:dyDescent="0.25">
      <c r="A6" s="32" t="s">
        <v>62</v>
      </c>
      <c r="B6" s="33">
        <v>0.29098735306697865</v>
      </c>
      <c r="C6" s="32" t="s">
        <v>113</v>
      </c>
      <c r="D6" s="33">
        <v>0.36146066414291156</v>
      </c>
      <c r="E6" s="32" t="s">
        <v>163</v>
      </c>
      <c r="F6" s="34">
        <v>0.42582710250862527</v>
      </c>
      <c r="G6" s="32" t="s">
        <v>223</v>
      </c>
      <c r="H6" s="34">
        <v>0.48484749117618992</v>
      </c>
      <c r="I6" s="32" t="s">
        <v>271</v>
      </c>
      <c r="J6" s="34">
        <v>0.53916130977457066</v>
      </c>
      <c r="K6" s="32" t="s">
        <v>319</v>
      </c>
      <c r="L6" s="34">
        <v>0.58930995823503896</v>
      </c>
      <c r="M6" s="32" t="s">
        <v>367</v>
      </c>
      <c r="N6" s="34">
        <v>0.63575486604111509</v>
      </c>
      <c r="O6" s="32" t="s">
        <v>415</v>
      </c>
      <c r="P6" s="34">
        <v>0.67889173198066166</v>
      </c>
      <c r="Q6" s="32" t="s">
        <v>463</v>
      </c>
      <c r="R6" s="34">
        <v>0.7190618258473368</v>
      </c>
      <c r="T6" s="32" t="s">
        <v>515</v>
      </c>
      <c r="U6" s="33">
        <f>'Tabel Kadar Emas'!B457</f>
        <v>0.75656103581330258</v>
      </c>
      <c r="V6" s="32" t="s">
        <v>565</v>
      </c>
      <c r="W6" s="33">
        <f>'Tabel Kadar Emas'!B507</f>
        <v>0.79164716920488165</v>
      </c>
      <c r="X6" s="32" t="s">
        <v>614</v>
      </c>
      <c r="Y6" s="34">
        <f>'Tabel Kadar Emas'!B557</f>
        <v>0.82454588779648696</v>
      </c>
      <c r="Z6" s="32" t="s">
        <v>664</v>
      </c>
      <c r="AA6" s="34">
        <f>'Tabel Kadar Emas'!B607</f>
        <v>0.85545556656997834</v>
      </c>
      <c r="AB6" s="32" t="s">
        <v>714</v>
      </c>
      <c r="AC6" s="34">
        <f>'Tabel Kadar Emas'!B657</f>
        <v>0.88455129705864044</v>
      </c>
      <c r="AD6" s="32" t="s">
        <v>764</v>
      </c>
      <c r="AE6" s="34">
        <f>'Tabel Kadar Emas'!B707</f>
        <v>0.91198820596870145</v>
      </c>
      <c r="AF6" s="32" t="s">
        <v>814</v>
      </c>
      <c r="AG6" s="34">
        <f>'Tabel Kadar Emas'!B757</f>
        <v>0.9379042219236593</v>
      </c>
      <c r="AH6" s="32" t="s">
        <v>864</v>
      </c>
      <c r="AI6" s="34">
        <f>'Tabel Kadar Emas'!B807</f>
        <v>0.96242239451535083</v>
      </c>
      <c r="AJ6" s="32" t="s">
        <v>914</v>
      </c>
      <c r="AK6" s="34">
        <f>'Tabel Kadar Emas'!B857</f>
        <v>0.98565284795831909</v>
      </c>
    </row>
    <row r="7" spans="1:37" x14ac:dyDescent="0.25">
      <c r="A7" s="32" t="s">
        <v>63</v>
      </c>
      <c r="B7" s="33">
        <v>0.29246228264854901</v>
      </c>
      <c r="C7" s="32" t="s">
        <v>114</v>
      </c>
      <c r="D7" s="33">
        <v>0.36280507807728346</v>
      </c>
      <c r="E7" s="32" t="s">
        <v>164</v>
      </c>
      <c r="F7" s="34">
        <v>0.42705758818751283</v>
      </c>
      <c r="G7" s="32" t="s">
        <v>224</v>
      </c>
      <c r="H7" s="34">
        <v>0.48597793978237042</v>
      </c>
      <c r="I7" s="32" t="s">
        <v>272</v>
      </c>
      <c r="J7" s="34">
        <v>0.54020344264456999</v>
      </c>
      <c r="K7" s="32" t="s">
        <v>320</v>
      </c>
      <c r="L7" s="34">
        <v>0.59027373455947474</v>
      </c>
      <c r="M7" s="32" t="s">
        <v>368</v>
      </c>
      <c r="N7" s="34">
        <v>0.63664880197881435</v>
      </c>
      <c r="O7" s="32" t="s">
        <v>416</v>
      </c>
      <c r="P7" s="34">
        <v>0.67972315285585239</v>
      </c>
      <c r="Q7" s="32" t="s">
        <v>464</v>
      </c>
      <c r="R7" s="34">
        <v>0.7198370672464961</v>
      </c>
      <c r="T7" s="32" t="s">
        <v>516</v>
      </c>
      <c r="U7" s="33">
        <f>'Tabel Kadar Emas'!B458</f>
        <v>0.75728560526566835</v>
      </c>
      <c r="V7" s="32" t="s">
        <v>566</v>
      </c>
      <c r="W7" s="33">
        <f>'Tabel Kadar Emas'!B508</f>
        <v>0.79232587717428282</v>
      </c>
      <c r="X7" s="32" t="s">
        <v>615</v>
      </c>
      <c r="Y7" s="34">
        <f>'Tabel Kadar Emas'!B558</f>
        <v>0.82518295457145718</v>
      </c>
      <c r="Z7" s="32" t="s">
        <v>665</v>
      </c>
      <c r="AA7" s="34">
        <f>'Tabel Kadar Emas'!B608</f>
        <v>0.85605471007152134</v>
      </c>
      <c r="AB7" s="32" t="s">
        <v>715</v>
      </c>
      <c r="AC7" s="34">
        <f>'Tabel Kadar Emas'!B658</f>
        <v>0.88511580542495427</v>
      </c>
      <c r="AD7" s="32" t="s">
        <v>765</v>
      </c>
      <c r="AE7" s="34">
        <f>'Tabel Kadar Emas'!B708</f>
        <v>0.91252099790924557</v>
      </c>
      <c r="AF7" s="32" t="s">
        <v>815</v>
      </c>
      <c r="AG7" s="34">
        <f>'Tabel Kadar Emas'!B758</f>
        <v>0.93840789718111084</v>
      </c>
      <c r="AH7" s="32" t="s">
        <v>865</v>
      </c>
      <c r="AI7" s="34">
        <f>'Tabel Kadar Emas'!B808</f>
        <v>0.96289927627659522</v>
      </c>
      <c r="AJ7" s="32" t="s">
        <v>915</v>
      </c>
      <c r="AK7" s="34">
        <f>'Tabel Kadar Emas'!B858</f>
        <v>0.9861050186741539</v>
      </c>
    </row>
    <row r="8" spans="1:37" x14ac:dyDescent="0.25">
      <c r="A8" s="32" t="s">
        <v>64</v>
      </c>
      <c r="B8" s="33">
        <v>0.29393441880288135</v>
      </c>
      <c r="C8" s="32" t="s">
        <v>115</v>
      </c>
      <c r="D8" s="33">
        <v>0.36414706088338311</v>
      </c>
      <c r="E8" s="32" t="s">
        <v>165</v>
      </c>
      <c r="F8" s="34">
        <v>0.42828594499844375</v>
      </c>
      <c r="G8" s="32" t="s">
        <v>225</v>
      </c>
      <c r="H8" s="34">
        <v>0.48710651368107788</v>
      </c>
      <c r="I8" s="32" t="s">
        <v>273</v>
      </c>
      <c r="J8" s="34">
        <v>0.54124391606732403</v>
      </c>
      <c r="K8" s="32" t="s">
        <v>321</v>
      </c>
      <c r="L8" s="34">
        <v>0.591236034963046</v>
      </c>
      <c r="M8" s="32" t="s">
        <v>369</v>
      </c>
      <c r="N8" s="34">
        <v>0.63754141942692999</v>
      </c>
      <c r="O8" s="32" t="s">
        <v>417</v>
      </c>
      <c r="P8" s="34">
        <v>0.68055339105554502</v>
      </c>
      <c r="Q8" s="32" t="s">
        <v>465</v>
      </c>
      <c r="R8" s="34">
        <v>0.72061124375362318</v>
      </c>
      <c r="T8" s="32" t="s">
        <v>517</v>
      </c>
      <c r="U8" s="33">
        <f>'Tabel Kadar Emas'!B459</f>
        <v>0.75800921247440523</v>
      </c>
      <c r="V8" s="32" t="s">
        <v>567</v>
      </c>
      <c r="W8" s="33">
        <f>'Tabel Kadar Emas'!B509</f>
        <v>0.79300371276840187</v>
      </c>
      <c r="X8" s="32" t="s">
        <v>616</v>
      </c>
      <c r="Y8" s="34">
        <f>'Tabel Kadar Emas'!B559</f>
        <v>0.82581922798805241</v>
      </c>
      <c r="Z8" s="32" t="s">
        <v>666</v>
      </c>
      <c r="AA8" s="34">
        <f>'Tabel Kadar Emas'!B609</f>
        <v>0.85665312996980147</v>
      </c>
      <c r="AB8" s="32" t="s">
        <v>716</v>
      </c>
      <c r="AC8" s="34">
        <f>'Tabel Kadar Emas'!B659</f>
        <v>0.8856796519995136</v>
      </c>
      <c r="AD8" s="32" t="s">
        <v>766</v>
      </c>
      <c r="AE8" s="34">
        <f>'Tabel Kadar Emas'!B709</f>
        <v>0.91305318302525584</v>
      </c>
      <c r="AF8" s="32" t="s">
        <v>816</v>
      </c>
      <c r="AG8" s="34">
        <f>'Tabel Kadar Emas'!B759</f>
        <v>0.93891101465865356</v>
      </c>
      <c r="AH8" s="32" t="s">
        <v>866</v>
      </c>
      <c r="AI8" s="34">
        <f>'Tabel Kadar Emas'!B809</f>
        <v>0.96337564415663124</v>
      </c>
      <c r="AJ8" s="32" t="s">
        <v>916</v>
      </c>
      <c r="AK8" s="34">
        <f>'Tabel Kadar Emas'!B859</f>
        <v>0.98655671491914299</v>
      </c>
    </row>
    <row r="9" spans="1:37" x14ac:dyDescent="0.25">
      <c r="A9" s="32" t="s">
        <v>65</v>
      </c>
      <c r="B9" s="33">
        <v>0.29540376945834079</v>
      </c>
      <c r="C9" s="32" t="s">
        <v>116</v>
      </c>
      <c r="D9" s="33">
        <v>0.36548661914963443</v>
      </c>
      <c r="E9" s="32" t="s">
        <v>166</v>
      </c>
      <c r="F9" s="34">
        <v>0.42951217846138673</v>
      </c>
      <c r="G9" s="32" t="s">
        <v>226</v>
      </c>
      <c r="H9" s="34">
        <v>0.48823321753190013</v>
      </c>
      <c r="I9" s="32" t="s">
        <v>274</v>
      </c>
      <c r="J9" s="34">
        <v>0.54228273400332738</v>
      </c>
      <c r="K9" s="32" t="s">
        <v>322</v>
      </c>
      <c r="L9" s="34">
        <v>0.59219686283348261</v>
      </c>
      <c r="M9" s="32" t="s">
        <v>370</v>
      </c>
      <c r="N9" s="34">
        <v>0.63843272130032469</v>
      </c>
      <c r="O9" s="32" t="s">
        <v>418</v>
      </c>
      <c r="P9" s="34">
        <v>0.68138244910143564</v>
      </c>
      <c r="Q9" s="32" t="s">
        <v>466</v>
      </c>
      <c r="R9" s="34">
        <v>0.72138435756135799</v>
      </c>
      <c r="T9" s="32" t="s">
        <v>518</v>
      </c>
      <c r="U9" s="33">
        <f>'Tabel Kadar Emas'!B460</f>
        <v>0.7587318593550616</v>
      </c>
      <c r="V9" s="32" t="s">
        <v>568</v>
      </c>
      <c r="W9" s="33">
        <f>'Tabel Kadar Emas'!B510</f>
        <v>0.79368067766811623</v>
      </c>
      <c r="X9" s="32" t="s">
        <v>617</v>
      </c>
      <c r="Y9" s="34">
        <f>'Tabel Kadar Emas'!B560</f>
        <v>0.82645470952734035</v>
      </c>
      <c r="Z9" s="32" t="s">
        <v>667</v>
      </c>
      <c r="AA9" s="34">
        <f>'Tabel Kadar Emas'!B610</f>
        <v>0.85725082757490345</v>
      </c>
      <c r="AB9" s="32" t="s">
        <v>717</v>
      </c>
      <c r="AC9" s="34">
        <f>'Tabel Kadar Emas'!B660</f>
        <v>0.88624283794539782</v>
      </c>
      <c r="AD9" s="32" t="s">
        <v>767</v>
      </c>
      <c r="AE9" s="34">
        <f>'Tabel Kadar Emas'!B710</f>
        <v>0.91358476235285901</v>
      </c>
      <c r="AF9" s="32" t="s">
        <v>817</v>
      </c>
      <c r="AG9" s="34">
        <f>'Tabel Kadar Emas'!B760</f>
        <v>0.93941357528231995</v>
      </c>
      <c r="AH9" s="32" t="s">
        <v>867</v>
      </c>
      <c r="AI9" s="34">
        <f>'Tabel Kadar Emas'!B810</f>
        <v>0.96385149898563882</v>
      </c>
      <c r="AJ9" s="32" t="s">
        <v>917</v>
      </c>
      <c r="AK9" s="34">
        <f>'Tabel Kadar Emas'!B860</f>
        <v>0.98700793743970128</v>
      </c>
    </row>
    <row r="10" spans="1:37" x14ac:dyDescent="0.25">
      <c r="A10" s="32" t="s">
        <v>66</v>
      </c>
      <c r="B10" s="33">
        <v>0.29687034251331745</v>
      </c>
      <c r="C10" s="32" t="s">
        <v>117</v>
      </c>
      <c r="D10" s="33">
        <v>0.3668237594406758</v>
      </c>
      <c r="E10" s="32" t="s">
        <v>167</v>
      </c>
      <c r="F10" s="34">
        <v>0.43073629407724356</v>
      </c>
      <c r="G10" s="32" t="s">
        <v>227</v>
      </c>
      <c r="H10" s="34">
        <v>0.48935805597899579</v>
      </c>
      <c r="I10" s="32" t="s">
        <v>275</v>
      </c>
      <c r="J10" s="34">
        <v>0.54331990040048173</v>
      </c>
      <c r="K10" s="32" t="s">
        <v>323</v>
      </c>
      <c r="L10" s="34">
        <v>0.59315622154815384</v>
      </c>
      <c r="M10" s="32" t="s">
        <v>371</v>
      </c>
      <c r="N10" s="34">
        <v>0.63932271050527556</v>
      </c>
      <c r="O10" s="32" t="s">
        <v>419</v>
      </c>
      <c r="P10" s="34">
        <v>0.68221032950805616</v>
      </c>
      <c r="Q10" s="32" t="s">
        <v>467</v>
      </c>
      <c r="R10" s="34">
        <v>0.72215641085632531</v>
      </c>
      <c r="T10" s="32" t="s">
        <v>519</v>
      </c>
      <c r="U10" s="33">
        <f>'Tabel Kadar Emas'!B461</f>
        <v>0.75945354781810426</v>
      </c>
      <c r="V10" s="32" t="s">
        <v>569</v>
      </c>
      <c r="W10" s="33">
        <f>'Tabel Kadar Emas'!B511</f>
        <v>0.79435677354998746</v>
      </c>
      <c r="X10" s="32" t="s">
        <v>618</v>
      </c>
      <c r="Y10" s="34">
        <f>'Tabel Kadar Emas'!B561</f>
        <v>0.82708940066670356</v>
      </c>
      <c r="Z10" s="32" t="s">
        <v>668</v>
      </c>
      <c r="AA10" s="34">
        <f>'Tabel Kadar Emas'!B611</f>
        <v>0.85784780419375051</v>
      </c>
      <c r="AB10" s="32" t="s">
        <v>718</v>
      </c>
      <c r="AC10" s="34">
        <f>'Tabel Kadar Emas'!B661</f>
        <v>0.8868053644229611</v>
      </c>
      <c r="AD10" s="32" t="s">
        <v>768</v>
      </c>
      <c r="AE10" s="34">
        <f>'Tabel Kadar Emas'!B711</f>
        <v>0.91411573692582282</v>
      </c>
      <c r="AF10" s="32" t="s">
        <v>818</v>
      </c>
      <c r="AG10" s="34">
        <f>'Tabel Kadar Emas'!B761</f>
        <v>0.93991557997609276</v>
      </c>
      <c r="AH10" s="32" t="s">
        <v>868</v>
      </c>
      <c r="AI10" s="34">
        <f>'Tabel Kadar Emas'!B811</f>
        <v>0.96432684159200999</v>
      </c>
      <c r="AJ10" s="32" t="s">
        <v>918</v>
      </c>
      <c r="AK10" s="34">
        <f>'Tabel Kadar Emas'!B861</f>
        <v>0.98745868698067807</v>
      </c>
    </row>
    <row r="11" spans="1:37" x14ac:dyDescent="0.25">
      <c r="A11" s="32" t="s">
        <v>67</v>
      </c>
      <c r="B11" s="33">
        <v>0.29833414583636764</v>
      </c>
      <c r="C11" s="32" t="s">
        <v>118</v>
      </c>
      <c r="D11" s="33">
        <v>0.36815848829746833</v>
      </c>
      <c r="E11" s="32" t="s">
        <v>168</v>
      </c>
      <c r="F11" s="34">
        <v>0.43195829732793051</v>
      </c>
      <c r="G11" s="32" t="s">
        <v>228</v>
      </c>
      <c r="H11" s="34">
        <v>0.49048103365115842</v>
      </c>
      <c r="I11" s="32" t="s">
        <v>276</v>
      </c>
      <c r="J11" s="34">
        <v>0.54435541919414587</v>
      </c>
      <c r="K11" s="32" t="s">
        <v>324</v>
      </c>
      <c r="L11" s="34">
        <v>0.59411411447410911</v>
      </c>
      <c r="M11" s="32" t="s">
        <v>372</v>
      </c>
      <c r="N11" s="34">
        <v>0.64021138993950544</v>
      </c>
      <c r="O11" s="32" t="s">
        <v>420</v>
      </c>
      <c r="P11" s="34">
        <v>0.6830370347828012</v>
      </c>
      <c r="Q11" s="32" t="s">
        <v>468</v>
      </c>
      <c r="R11" s="34">
        <v>0.72292740581915427</v>
      </c>
      <c r="T11" s="32" t="s">
        <v>520</v>
      </c>
      <c r="U11" s="33">
        <f>'Tabel Kadar Emas'!B462</f>
        <v>0.76017427976893637</v>
      </c>
      <c r="V11" s="32" t="s">
        <v>570</v>
      </c>
      <c r="W11" s="33">
        <f>'Tabel Kadar Emas'!B512</f>
        <v>0.79503200208627578</v>
      </c>
      <c r="X11" s="32" t="s">
        <v>619</v>
      </c>
      <c r="Y11" s="34">
        <f>'Tabel Kadar Emas'!B562</f>
        <v>0.82772330287985274</v>
      </c>
      <c r="Z11" s="32" t="s">
        <v>669</v>
      </c>
      <c r="AA11" s="34">
        <f>'Tabel Kadar Emas'!B612</f>
        <v>0.85844406113011573</v>
      </c>
      <c r="AB11" s="32" t="s">
        <v>719</v>
      </c>
      <c r="AC11" s="34">
        <f>'Tabel Kadar Emas'!B662</f>
        <v>0.88736723258984274</v>
      </c>
      <c r="AD11" s="32" t="s">
        <v>769</v>
      </c>
      <c r="AE11" s="34">
        <f>'Tabel Kadar Emas'!B712</f>
        <v>0.91464610777556576</v>
      </c>
      <c r="AF11" s="32" t="s">
        <v>819</v>
      </c>
      <c r="AG11" s="34">
        <f>'Tabel Kadar Emas'!B762</f>
        <v>0.94041702966191232</v>
      </c>
      <c r="AH11" s="32" t="s">
        <v>869</v>
      </c>
      <c r="AI11" s="34">
        <f>'Tabel Kadar Emas'!B812</f>
        <v>0.96480167280235518</v>
      </c>
      <c r="AJ11" s="32" t="s">
        <v>919</v>
      </c>
      <c r="AK11" s="34">
        <f>'Tabel Kadar Emas'!B862</f>
        <v>0.98790896428536268</v>
      </c>
    </row>
    <row r="12" spans="1:37" x14ac:dyDescent="0.25">
      <c r="A12" s="32" t="s">
        <v>68</v>
      </c>
      <c r="B12" s="33">
        <v>0.29979518726635557</v>
      </c>
      <c r="C12" s="32" t="s">
        <v>119</v>
      </c>
      <c r="D12" s="33">
        <v>0.36949081223740171</v>
      </c>
      <c r="E12" s="32" t="s">
        <v>169</v>
      </c>
      <c r="F12" s="34">
        <v>0.43317819367646121</v>
      </c>
      <c r="G12" s="32" t="s">
        <v>229</v>
      </c>
      <c r="H12" s="34">
        <v>0.49160215516187944</v>
      </c>
      <c r="I12" s="32" t="s">
        <v>277</v>
      </c>
      <c r="J12" s="34">
        <v>0.54538929430718519</v>
      </c>
      <c r="K12" s="32" t="s">
        <v>325</v>
      </c>
      <c r="L12" s="34">
        <v>0.59507054496811618</v>
      </c>
      <c r="M12" s="32" t="s">
        <v>373</v>
      </c>
      <c r="N12" s="34">
        <v>0.6410987624922142</v>
      </c>
      <c r="O12" s="32" t="s">
        <v>421</v>
      </c>
      <c r="P12" s="34">
        <v>0.68386256742595053</v>
      </c>
      <c r="Q12" s="32" t="s">
        <v>469</v>
      </c>
      <c r="R12" s="34">
        <v>0.72369734462449975</v>
      </c>
      <c r="T12" s="32" t="s">
        <v>521</v>
      </c>
      <c r="U12" s="33">
        <f>'Tabel Kadar Emas'!B463</f>
        <v>0.7608940571079128</v>
      </c>
      <c r="V12" s="32" t="s">
        <v>571</v>
      </c>
      <c r="W12" s="33">
        <f>'Tabel Kadar Emas'!B513</f>
        <v>0.7957063649449535</v>
      </c>
      <c r="X12" s="32" t="s">
        <v>620</v>
      </c>
      <c r="Y12" s="34">
        <f>'Tabel Kadar Emas'!B563</f>
        <v>0.82835641763683654</v>
      </c>
      <c r="Z12" s="32" t="s">
        <v>670</v>
      </c>
      <c r="AA12" s="34">
        <f>'Tabel Kadar Emas'!B613</f>
        <v>0.85903959968463006</v>
      </c>
      <c r="AB12" s="32" t="s">
        <v>720</v>
      </c>
      <c r="AC12" s="34">
        <f>'Tabel Kadar Emas'!B663</f>
        <v>0.88792844360097356</v>
      </c>
      <c r="AD12" s="32" t="s">
        <v>770</v>
      </c>
      <c r="AE12" s="34">
        <f>'Tabel Kadar Emas'!B713</f>
        <v>0.91517587593116134</v>
      </c>
      <c r="AF12" s="32" t="s">
        <v>820</v>
      </c>
      <c r="AG12" s="34">
        <f>'Tabel Kadar Emas'!B763</f>
        <v>0.94091792525968121</v>
      </c>
      <c r="AH12" s="32" t="s">
        <v>870</v>
      </c>
      <c r="AI12" s="34">
        <f>'Tabel Kadar Emas'!B813</f>
        <v>0.9652759934415065</v>
      </c>
      <c r="AJ12" s="32" t="s">
        <v>920</v>
      </c>
      <c r="AK12" s="34">
        <f>'Tabel Kadar Emas'!B863</f>
        <v>0.98835877009548756</v>
      </c>
    </row>
    <row r="13" spans="1:37" x14ac:dyDescent="0.25">
      <c r="A13" s="32" t="s">
        <v>69</v>
      </c>
      <c r="B13" s="33">
        <v>0.30125347461259228</v>
      </c>
      <c r="C13" s="32" t="s">
        <v>120</v>
      </c>
      <c r="D13" s="33">
        <v>0.37082073775440116</v>
      </c>
      <c r="E13" s="32" t="s">
        <v>170</v>
      </c>
      <c r="F13" s="34">
        <v>0.43439598856702721</v>
      </c>
      <c r="G13" s="32" t="s">
        <v>230</v>
      </c>
      <c r="H13" s="34">
        <v>0.49272142510941175</v>
      </c>
      <c r="I13" s="32" t="s">
        <v>278</v>
      </c>
      <c r="J13" s="34">
        <v>0.54642152965002111</v>
      </c>
      <c r="K13" s="32" t="s">
        <v>326</v>
      </c>
      <c r="L13" s="34">
        <v>0.59602551637670165</v>
      </c>
      <c r="M13" s="32" t="s">
        <v>374</v>
      </c>
      <c r="N13" s="34">
        <v>0.64198483104411086</v>
      </c>
      <c r="O13" s="32" t="s">
        <v>422</v>
      </c>
      <c r="P13" s="34">
        <v>0.68468692993069746</v>
      </c>
      <c r="Q13" s="32" t="s">
        <v>470</v>
      </c>
      <c r="R13" s="34">
        <v>0.72446622944106309</v>
      </c>
      <c r="T13" s="32" t="s">
        <v>522</v>
      </c>
      <c r="U13" s="33">
        <f>'Tabel Kadar Emas'!B464</f>
        <v>0.76161288173035879</v>
      </c>
      <c r="V13" s="32" t="s">
        <v>572</v>
      </c>
      <c r="W13" s="33">
        <f>'Tabel Kadar Emas'!B514</f>
        <v>0.79637986378971892</v>
      </c>
      <c r="X13" s="32" t="s">
        <v>621</v>
      </c>
      <c r="Y13" s="34">
        <f>'Tabel Kadar Emas'!B564</f>
        <v>0.82898874640405351</v>
      </c>
      <c r="Z13" s="32" t="s">
        <v>671</v>
      </c>
      <c r="AA13" s="34">
        <f>'Tabel Kadar Emas'!B614</f>
        <v>0.85963442115479183</v>
      </c>
      <c r="AB13" s="32" t="s">
        <v>721</v>
      </c>
      <c r="AC13" s="34">
        <f>'Tabel Kadar Emas'!B664</f>
        <v>0.88848899860858466</v>
      </c>
      <c r="AD13" s="32" t="s">
        <v>771</v>
      </c>
      <c r="AE13" s="34">
        <f>'Tabel Kadar Emas'!B714</f>
        <v>0.91570504241934547</v>
      </c>
      <c r="AF13" s="32" t="s">
        <v>821</v>
      </c>
      <c r="AG13" s="34">
        <f>'Tabel Kadar Emas'!B764</f>
        <v>0.94141826768727022</v>
      </c>
      <c r="AH13" s="32" t="s">
        <v>871</v>
      </c>
      <c r="AI13" s="34">
        <f>'Tabel Kadar Emas'!B814</f>
        <v>0.96574980433252311</v>
      </c>
      <c r="AJ13" s="32" t="s">
        <v>921</v>
      </c>
      <c r="AK13" s="34">
        <f>'Tabel Kadar Emas'!B864</f>
        <v>0.98880810515123208</v>
      </c>
    </row>
    <row r="14" spans="1:37" x14ac:dyDescent="0.25">
      <c r="A14" s="32" t="s">
        <v>70</v>
      </c>
      <c r="B14" s="33">
        <v>0.30270901565497549</v>
      </c>
      <c r="C14" s="32" t="s">
        <v>121</v>
      </c>
      <c r="D14" s="33">
        <v>0.37214827131903155</v>
      </c>
      <c r="E14" s="32" t="s">
        <v>171</v>
      </c>
      <c r="F14" s="34">
        <v>0.43561168742507927</v>
      </c>
      <c r="G14" s="32" t="s">
        <v>231</v>
      </c>
      <c r="H14" s="34">
        <v>0.49383884807683281</v>
      </c>
      <c r="I14" s="32" t="s">
        <v>279</v>
      </c>
      <c r="J14" s="34">
        <v>0.54745212912068164</v>
      </c>
      <c r="K14" s="32" t="s">
        <v>327</v>
      </c>
      <c r="L14" s="34">
        <v>0.59697903203618863</v>
      </c>
      <c r="M14" s="32" t="s">
        <v>375</v>
      </c>
      <c r="N14" s="34">
        <v>0.64286959846744385</v>
      </c>
      <c r="O14" s="32" t="s">
        <v>423</v>
      </c>
      <c r="P14" s="34">
        <v>0.68551012478317108</v>
      </c>
      <c r="Q14" s="32" t="s">
        <v>471</v>
      </c>
      <c r="R14" s="34">
        <v>0.72523406243161193</v>
      </c>
      <c r="T14" s="32" t="s">
        <v>523</v>
      </c>
      <c r="U14" s="33">
        <f>'Tabel Kadar Emas'!B465</f>
        <v>0.76233075552658425</v>
      </c>
      <c r="V14" s="32" t="s">
        <v>573</v>
      </c>
      <c r="W14" s="33">
        <f>'Tabel Kadar Emas'!B515</f>
        <v>0.79705250028000951</v>
      </c>
      <c r="X14" s="32" t="s">
        <v>622</v>
      </c>
      <c r="Y14" s="34">
        <f>'Tabel Kadar Emas'!B565</f>
        <v>0.82962029064426424</v>
      </c>
      <c r="Z14" s="32" t="s">
        <v>672</v>
      </c>
      <c r="AA14" s="34">
        <f>'Tabel Kadar Emas'!B615</f>
        <v>0.86022852683497775</v>
      </c>
      <c r="AB14" s="32" t="s">
        <v>722</v>
      </c>
      <c r="AC14" s="34">
        <f>'Tabel Kadar Emas'!B665</f>
        <v>0.88904889876221493</v>
      </c>
      <c r="AD14" s="32" t="s">
        <v>772</v>
      </c>
      <c r="AE14" s="34">
        <f>'Tabel Kadar Emas'!B715</f>
        <v>0.91623360826452382</v>
      </c>
      <c r="AF14" s="32" t="s">
        <v>822</v>
      </c>
      <c r="AG14" s="34">
        <f>'Tabel Kadar Emas'!B765</f>
        <v>0.9419180578605244</v>
      </c>
      <c r="AH14" s="32" t="s">
        <v>872</v>
      </c>
      <c r="AI14" s="34">
        <f>'Tabel Kadar Emas'!B815</f>
        <v>0.96622310629669661</v>
      </c>
      <c r="AJ14" s="32" t="s">
        <v>922</v>
      </c>
      <c r="AK14" s="34">
        <f>'Tabel Kadar Emas'!B865</f>
        <v>0.98925697019122816</v>
      </c>
    </row>
    <row r="15" spans="1:37" x14ac:dyDescent="0.25">
      <c r="A15" s="32" t="s">
        <v>71</v>
      </c>
      <c r="B15" s="33">
        <v>0.30416181814412774</v>
      </c>
      <c r="C15" s="32" t="s">
        <v>122</v>
      </c>
      <c r="D15" s="33">
        <v>0.37347341937860457</v>
      </c>
      <c r="E15" s="32" t="s">
        <v>172</v>
      </c>
      <c r="F15" s="34">
        <v>0.43682529565740841</v>
      </c>
      <c r="G15" s="32" t="s">
        <v>232</v>
      </c>
      <c r="H15" s="34">
        <v>0.49495442863210631</v>
      </c>
      <c r="I15" s="32" t="s">
        <v>280</v>
      </c>
      <c r="J15" s="34">
        <v>0.54848109660484889</v>
      </c>
      <c r="K15" s="32" t="s">
        <v>328</v>
      </c>
      <c r="L15" s="34">
        <v>0.59793109527273658</v>
      </c>
      <c r="M15" s="32" t="s">
        <v>376</v>
      </c>
      <c r="N15" s="34">
        <v>0.64375306762603235</v>
      </c>
      <c r="O15" s="32" t="s">
        <v>424</v>
      </c>
      <c r="P15" s="34">
        <v>0.68633215446246365</v>
      </c>
      <c r="Q15" s="32" t="s">
        <v>472</v>
      </c>
      <c r="R15" s="34">
        <v>0.72600084575300106</v>
      </c>
      <c r="T15" s="32" t="s">
        <v>524</v>
      </c>
      <c r="U15" s="33">
        <f>'Tabel Kadar Emas'!B466</f>
        <v>0.76304768038190318</v>
      </c>
      <c r="V15" s="32" t="s">
        <v>574</v>
      </c>
      <c r="W15" s="33">
        <f>'Tabel Kadar Emas'!B516</f>
        <v>0.79772427607101626</v>
      </c>
      <c r="X15" s="32" t="s">
        <v>623</v>
      </c>
      <c r="Y15" s="34">
        <f>'Tabel Kadar Emas'!B566</f>
        <v>0.83025105181660086</v>
      </c>
      <c r="Z15" s="32" t="s">
        <v>673</v>
      </c>
      <c r="AA15" s="34">
        <f>'Tabel Kadar Emas'!B616</f>
        <v>0.86082191801645003</v>
      </c>
      <c r="AB15" s="32" t="s">
        <v>723</v>
      </c>
      <c r="AC15" s="34">
        <f>'Tabel Kadar Emas'!B666</f>
        <v>0.88960814520871889</v>
      </c>
      <c r="AD15" s="32" t="s">
        <v>773</v>
      </c>
      <c r="AE15" s="34">
        <f>'Tabel Kadar Emas'!B716</f>
        <v>0.91676157448877738</v>
      </c>
      <c r="AF15" s="32" t="s">
        <v>823</v>
      </c>
      <c r="AG15" s="34">
        <f>'Tabel Kadar Emas'!B766</f>
        <v>0.94241729669326724</v>
      </c>
      <c r="AH15" s="32" t="s">
        <v>873</v>
      </c>
      <c r="AI15" s="34">
        <f>'Tabel Kadar Emas'!B816</f>
        <v>0.96669590015355478</v>
      </c>
      <c r="AJ15" s="32" t="s">
        <v>923</v>
      </c>
      <c r="AK15" s="34">
        <f>'Tabel Kadar Emas'!B866</f>
        <v>0.98970536595256231</v>
      </c>
    </row>
    <row r="16" spans="1:37" x14ac:dyDescent="0.25">
      <c r="A16" s="32" t="s">
        <v>72</v>
      </c>
      <c r="B16" s="33">
        <v>0.30561188980153331</v>
      </c>
      <c r="C16" s="32" t="s">
        <v>123</v>
      </c>
      <c r="D16" s="33">
        <v>0.37479618835728046</v>
      </c>
      <c r="E16" s="32" t="s">
        <v>173</v>
      </c>
      <c r="F16" s="34">
        <v>0.4380368186522246</v>
      </c>
      <c r="G16" s="32" t="s">
        <v>233</v>
      </c>
      <c r="H16" s="34">
        <v>0.49606817132814551</v>
      </c>
      <c r="I16" s="32" t="s">
        <v>281</v>
      </c>
      <c r="J16" s="34">
        <v>0.54950843597590804</v>
      </c>
      <c r="K16" s="32" t="s">
        <v>329</v>
      </c>
      <c r="L16" s="34">
        <v>0.5988817094023795</v>
      </c>
      <c r="M16" s="32" t="s">
        <v>377</v>
      </c>
      <c r="N16" s="34">
        <v>0.6446352413752976</v>
      </c>
      <c r="O16" s="32" t="s">
        <v>425</v>
      </c>
      <c r="P16" s="34">
        <v>0.68715302144065404</v>
      </c>
      <c r="Q16" s="32" t="s">
        <v>473</v>
      </c>
      <c r="R16" s="34">
        <v>0.72676658155619123</v>
      </c>
      <c r="T16" s="32" t="s">
        <v>525</v>
      </c>
      <c r="U16" s="33">
        <f>'Tabel Kadar Emas'!B467</f>
        <v>0.76376365817664671</v>
      </c>
      <c r="V16" s="32" t="s">
        <v>575</v>
      </c>
      <c r="W16" s="33">
        <f>'Tabel Kadar Emas'!B517</f>
        <v>0.79839519281369686</v>
      </c>
      <c r="X16" s="32" t="s">
        <v>624</v>
      </c>
      <c r="Y16" s="34">
        <f>'Tabel Kadar Emas'!B567</f>
        <v>0.83088103137658065</v>
      </c>
      <c r="Z16" s="32" t="s">
        <v>674</v>
      </c>
      <c r="AA16" s="34">
        <f>'Tabel Kadar Emas'!B617</f>
        <v>0.86141459598736791</v>
      </c>
      <c r="AB16" s="32" t="s">
        <v>724</v>
      </c>
      <c r="AC16" s="34">
        <f>'Tabel Kadar Emas'!B667</f>
        <v>0.89016673909227484</v>
      </c>
      <c r="AD16" s="32" t="s">
        <v>774</v>
      </c>
      <c r="AE16" s="34">
        <f>'Tabel Kadar Emas'!B717</f>
        <v>0.91728894211186973</v>
      </c>
      <c r="AF16" s="32" t="s">
        <v>824</v>
      </c>
      <c r="AG16" s="34">
        <f>'Tabel Kadar Emas'!B767</f>
        <v>0.94291598509730834</v>
      </c>
      <c r="AH16" s="32" t="s">
        <v>874</v>
      </c>
      <c r="AI16" s="34">
        <f>'Tabel Kadar Emas'!B817</f>
        <v>0.96716818672086702</v>
      </c>
      <c r="AJ16" s="32" t="s">
        <v>924</v>
      </c>
      <c r="AK16" s="34">
        <f>'Tabel Kadar Emas'!B867</f>
        <v>0.99015329317078127</v>
      </c>
    </row>
    <row r="17" spans="1:37" x14ac:dyDescent="0.25">
      <c r="A17" s="32" t="s">
        <v>73</v>
      </c>
      <c r="B17" s="33">
        <v>0.30705923831967608</v>
      </c>
      <c r="C17" s="32" t="s">
        <v>124</v>
      </c>
      <c r="D17" s="33">
        <v>0.37611658465617404</v>
      </c>
      <c r="E17" s="32" t="s">
        <v>174</v>
      </c>
      <c r="F17" s="34">
        <v>0.43924626177923864</v>
      </c>
      <c r="G17" s="32" t="s">
        <v>234</v>
      </c>
      <c r="H17" s="34">
        <v>0.49718008070287417</v>
      </c>
      <c r="I17" s="32" t="s">
        <v>282</v>
      </c>
      <c r="J17" s="34">
        <v>0.55053415109499693</v>
      </c>
      <c r="K17" s="32" t="s">
        <v>330</v>
      </c>
      <c r="L17" s="34">
        <v>0.5998308777310648</v>
      </c>
      <c r="M17" s="32" t="s">
        <v>378</v>
      </c>
      <c r="N17" s="34">
        <v>0.6455161225622924</v>
      </c>
      <c r="O17" s="32" t="s">
        <v>426</v>
      </c>
      <c r="P17" s="34">
        <v>0.68797272818283273</v>
      </c>
      <c r="Q17" s="32" t="s">
        <v>474</v>
      </c>
      <c r="R17" s="34">
        <v>0.72753127198627121</v>
      </c>
      <c r="T17" s="32" t="s">
        <v>526</v>
      </c>
      <c r="U17" s="33">
        <f>'Tabel Kadar Emas'!B468</f>
        <v>0.76447869078618258</v>
      </c>
      <c r="V17" s="32" t="s">
        <v>576</v>
      </c>
      <c r="W17" s="33">
        <f>'Tabel Kadar Emas'!B518</f>
        <v>0.79906525215478952</v>
      </c>
      <c r="X17" s="32" t="s">
        <v>625</v>
      </c>
      <c r="Y17" s="34">
        <f>'Tabel Kadar Emas'!B568</f>
        <v>0.83151023077611419</v>
      </c>
      <c r="Z17" s="32" t="s">
        <v>675</v>
      </c>
      <c r="AA17" s="34">
        <f>'Tabel Kadar Emas'!B618</f>
        <v>0.86200656203279491</v>
      </c>
      <c r="AB17" s="32" t="s">
        <v>725</v>
      </c>
      <c r="AC17" s="34">
        <f>'Tabel Kadar Emas'!B668</f>
        <v>0.89072468155439211</v>
      </c>
      <c r="AD17" s="32" t="s">
        <v>775</v>
      </c>
      <c r="AE17" s="34">
        <f>'Tabel Kadar Emas'!B718</f>
        <v>0.91781571215125302</v>
      </c>
      <c r="AF17" s="32" t="s">
        <v>825</v>
      </c>
      <c r="AG17" s="34">
        <f>'Tabel Kadar Emas'!B768</f>
        <v>0.94341412398244673</v>
      </c>
      <c r="AH17" s="32" t="s">
        <v>875</v>
      </c>
      <c r="AI17" s="34">
        <f>'Tabel Kadar Emas'!B818</f>
        <v>0.9676399668146487</v>
      </c>
      <c r="AJ17" s="32" t="s">
        <v>925</v>
      </c>
      <c r="AK17" s="34">
        <f>'Tabel Kadar Emas'!B868</f>
        <v>0.99060075257989488</v>
      </c>
    </row>
    <row r="18" spans="1:37" x14ac:dyDescent="0.25">
      <c r="A18" s="32" t="s">
        <v>74</v>
      </c>
      <c r="B18" s="33">
        <v>0.30850387136217505</v>
      </c>
      <c r="C18" s="32" t="s">
        <v>125</v>
      </c>
      <c r="D18" s="33">
        <v>0.37743461465345662</v>
      </c>
      <c r="E18" s="32" t="s">
        <v>175</v>
      </c>
      <c r="F18" s="34">
        <v>0.44045363038973989</v>
      </c>
      <c r="G18" s="32" t="s">
        <v>235</v>
      </c>
      <c r="H18" s="34">
        <v>0.4982901612792891</v>
      </c>
      <c r="I18" s="32" t="s">
        <v>283</v>
      </c>
      <c r="J18" s="34">
        <v>0.55155824581105428</v>
      </c>
      <c r="K18" s="32" t="s">
        <v>331</v>
      </c>
      <c r="L18" s="34">
        <v>0.60077860355469137</v>
      </c>
      <c r="M18" s="32" t="s">
        <v>379</v>
      </c>
      <c r="N18" s="34">
        <v>0.64639571402573415</v>
      </c>
      <c r="O18" s="32" t="s">
        <v>427</v>
      </c>
      <c r="P18" s="34">
        <v>0.68879127714712707</v>
      </c>
      <c r="Q18" s="32" t="s">
        <v>475</v>
      </c>
      <c r="R18" s="34">
        <v>0.7282949191824768</v>
      </c>
      <c r="T18" s="32" t="s">
        <v>527</v>
      </c>
      <c r="U18" s="33">
        <f>'Tabel Kadar Emas'!B469</f>
        <v>0.76519278008093006</v>
      </c>
      <c r="V18" s="32" t="s">
        <v>577</v>
      </c>
      <c r="W18" s="33">
        <f>'Tabel Kadar Emas'!B519</f>
        <v>0.79973445573682567</v>
      </c>
      <c r="X18" s="32" t="s">
        <v>626</v>
      </c>
      <c r="Y18" s="34">
        <f>'Tabel Kadar Emas'!B569</f>
        <v>0.83213865146351995</v>
      </c>
      <c r="Z18" s="32" t="s">
        <v>676</v>
      </c>
      <c r="AA18" s="34">
        <f>'Tabel Kadar Emas'!B619</f>
        <v>0.8625978174347102</v>
      </c>
      <c r="AB18" s="32" t="s">
        <v>726</v>
      </c>
      <c r="AC18" s="34">
        <f>'Tabel Kadar Emas'!B669</f>
        <v>0.89128197373391982</v>
      </c>
      <c r="AD18" s="32" t="s">
        <v>776</v>
      </c>
      <c r="AE18" s="34">
        <f>'Tabel Kadar Emas'!B719</f>
        <v>0.91834188562207553</v>
      </c>
      <c r="AF18" s="32" t="s">
        <v>826</v>
      </c>
      <c r="AG18" s="34">
        <f>'Tabel Kadar Emas'!B769</f>
        <v>0.94391171425647824</v>
      </c>
      <c r="AH18" s="32" t="s">
        <v>876</v>
      </c>
      <c r="AI18" s="34">
        <f>'Tabel Kadar Emas'!B819</f>
        <v>0.96811124124916581</v>
      </c>
      <c r="AJ18" s="32" t="s">
        <v>926</v>
      </c>
      <c r="AK18" s="34">
        <f>'Tabel Kadar Emas'!B869</f>
        <v>0.99104774491238123</v>
      </c>
    </row>
    <row r="19" spans="1:37" x14ac:dyDescent="0.25">
      <c r="A19" s="32" t="s">
        <v>75</v>
      </c>
      <c r="B19" s="33">
        <v>0.30994579656391941</v>
      </c>
      <c r="C19" s="32" t="s">
        <v>126</v>
      </c>
      <c r="D19" s="33">
        <v>0.37875028470445948</v>
      </c>
      <c r="E19" s="32" t="s">
        <v>176</v>
      </c>
      <c r="F19" s="34">
        <v>0.44165892981667548</v>
      </c>
      <c r="G19" s="32" t="s">
        <v>236</v>
      </c>
      <c r="H19" s="34">
        <v>0.49939841756552117</v>
      </c>
      <c r="I19" s="32" t="s">
        <v>284</v>
      </c>
      <c r="J19" s="34">
        <v>0.55258072396086688</v>
      </c>
      <c r="K19" s="32" t="s">
        <v>332</v>
      </c>
      <c r="L19" s="34">
        <v>0.60172489015914754</v>
      </c>
      <c r="M19" s="32" t="s">
        <v>380</v>
      </c>
      <c r="N19" s="34">
        <v>0.64727401859603262</v>
      </c>
      <c r="O19" s="32" t="s">
        <v>428</v>
      </c>
      <c r="P19" s="34">
        <v>0.6896086707847251</v>
      </c>
      <c r="Q19" s="32" t="s">
        <v>476</v>
      </c>
      <c r="R19" s="34">
        <v>0.72905752527821022</v>
      </c>
      <c r="T19" s="32" t="s">
        <v>528</v>
      </c>
      <c r="U19" s="33">
        <f>'Tabel Kadar Emas'!B470</f>
        <v>0.76590592792637691</v>
      </c>
      <c r="V19" s="32" t="s">
        <v>578</v>
      </c>
      <c r="W19" s="33">
        <f>'Tabel Kadar Emas'!B520</f>
        <v>0.80040280519814477</v>
      </c>
      <c r="X19" s="32" t="s">
        <v>627</v>
      </c>
      <c r="Y19" s="34">
        <f>'Tabel Kadar Emas'!B570</f>
        <v>0.83276629488353238</v>
      </c>
      <c r="Z19" s="32" t="s">
        <v>677</v>
      </c>
      <c r="AA19" s="34">
        <f>'Tabel Kadar Emas'!B620</f>
        <v>0.86318836347201622</v>
      </c>
      <c r="AB19" s="32" t="s">
        <v>727</v>
      </c>
      <c r="AC19" s="34">
        <f>'Tabel Kadar Emas'!B670</f>
        <v>0.89183861676705301</v>
      </c>
      <c r="AD19" s="32" t="s">
        <v>777</v>
      </c>
      <c r="AE19" s="34">
        <f>'Tabel Kadar Emas'!B720</f>
        <v>0.91886746353718685</v>
      </c>
      <c r="AF19" s="32" t="s">
        <v>827</v>
      </c>
      <c r="AG19" s="34">
        <f>'Tabel Kadar Emas'!B770</f>
        <v>0.94440875682519976</v>
      </c>
      <c r="AH19" s="32" t="s">
        <v>877</v>
      </c>
      <c r="AI19" s="34">
        <f>'Tabel Kadar Emas'!B820</f>
        <v>0.96858201083694018</v>
      </c>
      <c r="AJ19" s="32" t="s">
        <v>927</v>
      </c>
      <c r="AK19" s="34">
        <f>'Tabel Kadar Emas'!B870</f>
        <v>0.99149427089918951</v>
      </c>
    </row>
    <row r="20" spans="1:37" x14ac:dyDescent="0.25">
      <c r="A20" s="32" t="s">
        <v>76</v>
      </c>
      <c r="B20" s="33">
        <v>0.31138502153120368</v>
      </c>
      <c r="C20" s="32" t="s">
        <v>127</v>
      </c>
      <c r="D20" s="33">
        <v>0.38006360114177518</v>
      </c>
      <c r="E20" s="32" t="s">
        <v>177</v>
      </c>
      <c r="F20" s="34">
        <v>0.44286216537472933</v>
      </c>
      <c r="G20" s="32" t="s">
        <v>237</v>
      </c>
      <c r="H20" s="34">
        <v>0.50050485405489564</v>
      </c>
      <c r="I20" s="32" t="s">
        <v>285</v>
      </c>
      <c r="J20" s="34">
        <v>0.5536015893691183</v>
      </c>
      <c r="K20" s="32" t="s">
        <v>333</v>
      </c>
      <c r="L20" s="34">
        <v>0.60266974082034974</v>
      </c>
      <c r="M20" s="32" t="s">
        <v>381</v>
      </c>
      <c r="N20" s="34">
        <v>0.64815103909532168</v>
      </c>
      <c r="O20" s="32" t="s">
        <v>429</v>
      </c>
      <c r="P20" s="34">
        <v>0.6904249115399006</v>
      </c>
      <c r="Q20" s="32" t="s">
        <v>477</v>
      </c>
      <c r="R20" s="34">
        <v>0.72981909240106124</v>
      </c>
      <c r="T20" s="32" t="s">
        <v>529</v>
      </c>
      <c r="U20" s="33">
        <f>'Tabel Kadar Emas'!B471</f>
        <v>0.76661813618309427</v>
      </c>
      <c r="V20" s="32" t="s">
        <v>579</v>
      </c>
      <c r="W20" s="33">
        <f>'Tabel Kadar Emas'!B521</f>
        <v>0.80107030217290576</v>
      </c>
      <c r="X20" s="32" t="s">
        <v>628</v>
      </c>
      <c r="Y20" s="34">
        <f>'Tabel Kadar Emas'!B571</f>
        <v>0.83339316247731476</v>
      </c>
      <c r="Z20" s="32" t="s">
        <v>678</v>
      </c>
      <c r="AA20" s="34">
        <f>'Tabel Kadar Emas'!B621</f>
        <v>0.86377820142054818</v>
      </c>
      <c r="AB20" s="32" t="s">
        <v>728</v>
      </c>
      <c r="AC20" s="34">
        <f>'Tabel Kadar Emas'!B671</f>
        <v>0.89239461178734192</v>
      </c>
      <c r="AD20" s="32" t="s">
        <v>778</v>
      </c>
      <c r="AE20" s="34">
        <f>'Tabel Kadar Emas'!B721</f>
        <v>0.91939244690714506</v>
      </c>
      <c r="AF20" s="32" t="s">
        <v>828</v>
      </c>
      <c r="AG20" s="34">
        <f>'Tabel Kadar Emas'!B771</f>
        <v>0.94490525259241553</v>
      </c>
      <c r="AH20" s="32" t="s">
        <v>878</v>
      </c>
      <c r="AI20" s="34">
        <f>'Tabel Kadar Emas'!B821</f>
        <v>0.96905227638875291</v>
      </c>
      <c r="AJ20" s="32" t="s">
        <v>928</v>
      </c>
      <c r="AK20" s="34">
        <f>'Tabel Kadar Emas'!B871</f>
        <v>0.99194033126974435</v>
      </c>
    </row>
    <row r="21" spans="1:37" x14ac:dyDescent="0.25">
      <c r="A21" s="32" t="s">
        <v>77</v>
      </c>
      <c r="B21" s="33">
        <v>0.31282155384186067</v>
      </c>
      <c r="C21" s="32" t="s">
        <v>128</v>
      </c>
      <c r="D21" s="33">
        <v>0.38137457027536042</v>
      </c>
      <c r="E21" s="32" t="s">
        <v>178</v>
      </c>
      <c r="F21" s="34">
        <v>0.44406334236039979</v>
      </c>
      <c r="G21" s="32" t="s">
        <v>238</v>
      </c>
      <c r="H21" s="34">
        <v>0.50160947522599375</v>
      </c>
      <c r="I21" s="32" t="s">
        <v>286</v>
      </c>
      <c r="J21" s="34">
        <v>0.55462084584843607</v>
      </c>
      <c r="K21" s="32" t="s">
        <v>334</v>
      </c>
      <c r="L21" s="34">
        <v>0.60361315880427946</v>
      </c>
      <c r="M21" s="32" t="s">
        <v>382</v>
      </c>
      <c r="N21" s="34">
        <v>0.64902677833748967</v>
      </c>
      <c r="O21" s="32" t="s">
        <v>430</v>
      </c>
      <c r="P21" s="34">
        <v>0.69124000185003709</v>
      </c>
      <c r="Q21" s="32" t="s">
        <v>478</v>
      </c>
      <c r="R21" s="34">
        <v>0.73057962267282617</v>
      </c>
      <c r="T21" s="32" t="s">
        <v>530</v>
      </c>
      <c r="U21" s="33">
        <f>'Tabel Kadar Emas'!B472</f>
        <v>0.76732940670675487</v>
      </c>
      <c r="V21" s="32" t="s">
        <v>580</v>
      </c>
      <c r="W21" s="33">
        <f>'Tabel Kadar Emas'!B522</f>
        <v>0.80173694829110242</v>
      </c>
      <c r="X21" s="32" t="s">
        <v>629</v>
      </c>
      <c r="Y21" s="34">
        <f>'Tabel Kadar Emas'!B572</f>
        <v>0.83401925568247004</v>
      </c>
      <c r="Z21" s="32" t="s">
        <v>679</v>
      </c>
      <c r="AA21" s="34">
        <f>'Tabel Kadar Emas'!B622</f>
        <v>0.86436733255308462</v>
      </c>
      <c r="AB21" s="32" t="s">
        <v>729</v>
      </c>
      <c r="AC21" s="34">
        <f>'Tabel Kadar Emas'!B672</f>
        <v>0.89294995992569937</v>
      </c>
      <c r="AD21" s="32" t="s">
        <v>779</v>
      </c>
      <c r="AE21" s="34">
        <f>'Tabel Kadar Emas'!B722</f>
        <v>0.91991683674022395</v>
      </c>
      <c r="AF21" s="32" t="s">
        <v>829</v>
      </c>
      <c r="AG21" s="34">
        <f>'Tabel Kadar Emas'!B772</f>
        <v>0.94540120245994241</v>
      </c>
      <c r="AH21" s="32" t="s">
        <v>879</v>
      </c>
      <c r="AI21" s="34">
        <f>'Tabel Kadar Emas'!B822</f>
        <v>0.96952203871365139</v>
      </c>
      <c r="AJ21" s="32" t="s">
        <v>929</v>
      </c>
      <c r="AK21" s="34">
        <f>'Tabel Kadar Emas'!B872</f>
        <v>0.9923859267519507</v>
      </c>
    </row>
    <row r="22" spans="1:37" x14ac:dyDescent="0.25">
      <c r="A22" s="32" t="s">
        <v>78</v>
      </c>
      <c r="B22" s="33">
        <v>0.31425540104539501</v>
      </c>
      <c r="C22" s="32" t="s">
        <v>129</v>
      </c>
      <c r="D22" s="33">
        <v>0.38268319839263559</v>
      </c>
      <c r="E22" s="32" t="s">
        <v>179</v>
      </c>
      <c r="F22" s="34">
        <v>0.4452624660520777</v>
      </c>
      <c r="G22" s="32" t="s">
        <v>239</v>
      </c>
      <c r="H22" s="34">
        <v>0.50271228554271297</v>
      </c>
      <c r="I22" s="32" t="s">
        <v>287</v>
      </c>
      <c r="J22" s="34">
        <v>0.55563849719944025</v>
      </c>
      <c r="K22" s="32" t="s">
        <v>335</v>
      </c>
      <c r="L22" s="34">
        <v>0.60455514736702132</v>
      </c>
      <c r="M22" s="32" t="s">
        <v>383</v>
      </c>
      <c r="N22" s="34">
        <v>0.64990123912820952</v>
      </c>
      <c r="O22" s="32" t="s">
        <v>431</v>
      </c>
      <c r="P22" s="34">
        <v>0.69205394414565224</v>
      </c>
      <c r="Q22" s="32" t="s">
        <v>479</v>
      </c>
      <c r="R22" s="34">
        <v>0.73133911820952735</v>
      </c>
      <c r="T22" s="32" t="s">
        <v>531</v>
      </c>
      <c r="U22" s="33">
        <f>'Tabel Kadar Emas'!B473</f>
        <v>0.76803974134814768</v>
      </c>
      <c r="V22" s="32" t="s">
        <v>581</v>
      </c>
      <c r="W22" s="33">
        <f>'Tabel Kadar Emas'!B523</f>
        <v>0.80240274517857546</v>
      </c>
      <c r="X22" s="32" t="s">
        <v>630</v>
      </c>
      <c r="Y22" s="34">
        <f>'Tabel Kadar Emas'!B573</f>
        <v>0.83464457593305086</v>
      </c>
      <c r="Z22" s="32" t="s">
        <v>680</v>
      </c>
      <c r="AA22" s="34">
        <f>'Tabel Kadar Emas'!B623</f>
        <v>0.86495575813935421</v>
      </c>
      <c r="AB22" s="32" t="s">
        <v>730</v>
      </c>
      <c r="AC22" s="34">
        <f>'Tabel Kadar Emas'!B673</f>
        <v>0.89350466231040737</v>
      </c>
      <c r="AD22" s="32" t="s">
        <v>780</v>
      </c>
      <c r="AE22" s="34">
        <f>'Tabel Kadar Emas'!B723</f>
        <v>0.92044063404241783</v>
      </c>
      <c r="AF22" s="32" t="s">
        <v>830</v>
      </c>
      <c r="AG22" s="34">
        <f>'Tabel Kadar Emas'!B773</f>
        <v>0.94589660732761471</v>
      </c>
      <c r="AH22" s="32" t="s">
        <v>880</v>
      </c>
      <c r="AI22" s="34">
        <f>'Tabel Kadar Emas'!B823</f>
        <v>0.96999129861895073</v>
      </c>
      <c r="AJ22" s="32" t="s">
        <v>930</v>
      </c>
      <c r="AK22" s="34">
        <f>'Tabel Kadar Emas'!B873</f>
        <v>0.99283105807219618</v>
      </c>
    </row>
    <row r="23" spans="1:37" x14ac:dyDescent="0.25">
      <c r="A23" s="32" t="s">
        <v>79</v>
      </c>
      <c r="B23" s="33">
        <v>0.31568657066311545</v>
      </c>
      <c r="C23" s="32" t="s">
        <v>130</v>
      </c>
      <c r="D23" s="33">
        <v>0.3839894917585866</v>
      </c>
      <c r="E23" s="32" t="s">
        <v>180</v>
      </c>
      <c r="F23" s="34">
        <v>0.44645954171012342</v>
      </c>
      <c r="G23" s="32" t="s">
        <v>240</v>
      </c>
      <c r="H23" s="34">
        <v>0.50381328945432735</v>
      </c>
      <c r="I23" s="32" t="s">
        <v>288</v>
      </c>
      <c r="J23" s="34">
        <v>0.55665454721078889</v>
      </c>
      <c r="K23" s="32" t="s">
        <v>336</v>
      </c>
      <c r="L23" s="34">
        <v>0.60549570975480083</v>
      </c>
      <c r="M23" s="32" t="s">
        <v>384</v>
      </c>
      <c r="N23" s="34">
        <v>0.65077442426496779</v>
      </c>
      <c r="O23" s="32" t="s">
        <v>432</v>
      </c>
      <c r="P23" s="34">
        <v>0.69286674085042221</v>
      </c>
      <c r="Q23" s="32" t="s">
        <v>480</v>
      </c>
      <c r="R23" s="34">
        <v>0.73209758112143364</v>
      </c>
      <c r="T23" s="32" t="s">
        <v>532</v>
      </c>
      <c r="U23" s="33">
        <f>'Tabel Kadar Emas'!B474</f>
        <v>0.76874914195319388</v>
      </c>
      <c r="V23" s="32" t="s">
        <v>582</v>
      </c>
      <c r="W23" s="33">
        <f>'Tabel Kadar Emas'!B524</f>
        <v>0.80306769445702553</v>
      </c>
      <c r="X23" s="32" t="s">
        <v>631</v>
      </c>
      <c r="Y23" s="34">
        <f>'Tabel Kadar Emas'!B574</f>
        <v>0.83526912465957193</v>
      </c>
      <c r="Z23" s="32" t="s">
        <v>681</v>
      </c>
      <c r="AA23" s="34">
        <f>'Tabel Kadar Emas'!B624</f>
        <v>0.86554347944604737</v>
      </c>
      <c r="AB23" s="32" t="s">
        <v>731</v>
      </c>
      <c r="AC23" s="34">
        <f>'Tabel Kadar Emas'!B674</f>
        <v>0.89405872006712628</v>
      </c>
      <c r="AD23" s="32" t="s">
        <v>781</v>
      </c>
      <c r="AE23" s="34">
        <f>'Tabel Kadar Emas'!B724</f>
        <v>0.92096383981744967</v>
      </c>
      <c r="AF23" s="32" t="s">
        <v>831</v>
      </c>
      <c r="AG23" s="34">
        <f>'Tabel Kadar Emas'!B774</f>
        <v>0.94639146809329078</v>
      </c>
      <c r="AH23" s="32" t="s">
        <v>881</v>
      </c>
      <c r="AI23" s="34">
        <f>'Tabel Kadar Emas'!B824</f>
        <v>0.97046005691024129</v>
      </c>
      <c r="AJ23" s="32" t="s">
        <v>931</v>
      </c>
      <c r="AK23" s="34">
        <f>'Tabel Kadar Emas'!B874</f>
        <v>0.99327572595535685</v>
      </c>
    </row>
    <row r="24" spans="1:37" x14ac:dyDescent="0.25">
      <c r="A24" s="32" t="s">
        <v>80</v>
      </c>
      <c r="B24" s="33">
        <v>0.31711507018826507</v>
      </c>
      <c r="C24" s="32" t="s">
        <v>131</v>
      </c>
      <c r="D24" s="33">
        <v>0.38529345661586367</v>
      </c>
      <c r="E24" s="32" t="s">
        <v>181</v>
      </c>
      <c r="F24" s="34">
        <v>0.44765457457694391</v>
      </c>
      <c r="G24" s="32" t="s">
        <v>241</v>
      </c>
      <c r="H24" s="34">
        <v>0.50491249139554606</v>
      </c>
      <c r="I24" s="32" t="s">
        <v>289</v>
      </c>
      <c r="J24" s="34">
        <v>0.55766899965922667</v>
      </c>
      <c r="K24" s="32" t="s">
        <v>337</v>
      </c>
      <c r="L24" s="34">
        <v>0.6064348492040208</v>
      </c>
      <c r="M24" s="32" t="s">
        <v>385</v>
      </c>
      <c r="N24" s="34">
        <v>0.65164633653709514</v>
      </c>
      <c r="O24" s="32" t="s">
        <v>433</v>
      </c>
      <c r="P24" s="34">
        <v>0.69367839438120493</v>
      </c>
      <c r="Q24" s="32" t="s">
        <v>481</v>
      </c>
      <c r="R24" s="34">
        <v>0.73285501351307913</v>
      </c>
      <c r="T24" s="32" t="s">
        <v>533</v>
      </c>
      <c r="U24" s="33">
        <f>'Tabel Kadar Emas'!B475</f>
        <v>0.76945761036296412</v>
      </c>
      <c r="V24" s="32" t="s">
        <v>583</v>
      </c>
      <c r="W24" s="33">
        <f>'Tabel Kadar Emas'!B525</f>
        <v>0.80373179774402703</v>
      </c>
      <c r="X24" s="32" t="s">
        <v>632</v>
      </c>
      <c r="Y24" s="34">
        <f>'Tabel Kadar Emas'!B575</f>
        <v>0.83589290328901944</v>
      </c>
      <c r="Z24" s="32" t="s">
        <v>682</v>
      </c>
      <c r="AA24" s="34">
        <f>'Tabel Kadar Emas'!B625</f>
        <v>0.86613049773682327</v>
      </c>
      <c r="AB24" s="32" t="s">
        <v>732</v>
      </c>
      <c r="AC24" s="34">
        <f>'Tabel Kadar Emas'!B675</f>
        <v>0.89461213431890108</v>
      </c>
      <c r="AD24" s="32" t="s">
        <v>782</v>
      </c>
      <c r="AE24" s="34">
        <f>'Tabel Kadar Emas'!B725</f>
        <v>0.92148645506677573</v>
      </c>
      <c r="AF24" s="32" t="s">
        <v>832</v>
      </c>
      <c r="AG24" s="34">
        <f>'Tabel Kadar Emas'!B775</f>
        <v>0.94688578565285719</v>
      </c>
      <c r="AH24" s="32" t="s">
        <v>882</v>
      </c>
      <c r="AI24" s="34">
        <f>'Tabel Kadar Emas'!B825</f>
        <v>0.97092831439139149</v>
      </c>
      <c r="AJ24" s="32" t="s">
        <v>932</v>
      </c>
      <c r="AK24" s="34">
        <f>'Tabel Kadar Emas'!B875</f>
        <v>0.99371993112479906</v>
      </c>
    </row>
    <row r="25" spans="1:37" x14ac:dyDescent="0.25">
      <c r="A25" s="32" t="s">
        <v>81</v>
      </c>
      <c r="B25" s="33">
        <v>0.31854090708615435</v>
      </c>
      <c r="C25" s="32" t="s">
        <v>132</v>
      </c>
      <c r="D25" s="33">
        <v>0.38659509918488222</v>
      </c>
      <c r="E25" s="32" t="s">
        <v>182</v>
      </c>
      <c r="F25" s="34">
        <v>0.44884756987706875</v>
      </c>
      <c r="G25" s="32" t="s">
        <v>242</v>
      </c>
      <c r="H25" s="34">
        <v>0.50600989578657463</v>
      </c>
      <c r="I25" s="32" t="s">
        <v>290</v>
      </c>
      <c r="J25" s="34">
        <v>0.55868185830963069</v>
      </c>
      <c r="K25" s="32" t="s">
        <v>338</v>
      </c>
      <c r="L25" s="34">
        <v>0.60737256894129921</v>
      </c>
      <c r="M25" s="32" t="s">
        <v>386</v>
      </c>
      <c r="N25" s="34">
        <v>0.65251697872579606</v>
      </c>
      <c r="O25" s="32" t="s">
        <v>434</v>
      </c>
      <c r="P25" s="34">
        <v>0.69448890714806533</v>
      </c>
      <c r="Q25" s="32" t="s">
        <v>482</v>
      </c>
      <c r="R25" s="34">
        <v>0.73361141748328307</v>
      </c>
      <c r="T25" s="32" t="s">
        <v>534</v>
      </c>
      <c r="U25" s="33">
        <f>'Tabel Kadar Emas'!B476</f>
        <v>0.77016514841369355</v>
      </c>
      <c r="V25" s="32" t="s">
        <v>584</v>
      </c>
      <c r="W25" s="33">
        <f>'Tabel Kadar Emas'!B526</f>
        <v>0.80439505665304145</v>
      </c>
      <c r="X25" s="32" t="s">
        <v>633</v>
      </c>
      <c r="Y25" s="34">
        <f>'Tabel Kadar Emas'!B576</f>
        <v>0.83651591324486341</v>
      </c>
      <c r="Z25" s="32" t="s">
        <v>683</v>
      </c>
      <c r="AA25" s="34">
        <f>'Tabel Kadar Emas'!B626</f>
        <v>0.86671681427232061</v>
      </c>
      <c r="AB25" s="32" t="s">
        <v>733</v>
      </c>
      <c r="AC25" s="34">
        <f>'Tabel Kadar Emas'!B676</f>
        <v>0.89516490618617028</v>
      </c>
      <c r="AD25" s="32" t="s">
        <v>783</v>
      </c>
      <c r="AE25" s="34">
        <f>'Tabel Kadar Emas'!B726</f>
        <v>0.92200848078959408</v>
      </c>
      <c r="AF25" s="32" t="s">
        <v>833</v>
      </c>
      <c r="AG25" s="34">
        <f>'Tabel Kadar Emas'!B776</f>
        <v>0.94737956090023556</v>
      </c>
      <c r="AH25" s="32" t="s">
        <v>883</v>
      </c>
      <c r="AI25" s="34">
        <f>'Tabel Kadar Emas'!B826</f>
        <v>0.97139607186455346</v>
      </c>
      <c r="AJ25" s="32" t="s">
        <v>933</v>
      </c>
      <c r="AK25" s="34">
        <f>'Tabel Kadar Emas'!B876</f>
        <v>0.99416367430238561</v>
      </c>
    </row>
    <row r="26" spans="1:37" x14ac:dyDescent="0.25">
      <c r="A26" s="32" t="s">
        <v>82</v>
      </c>
      <c r="B26" s="33">
        <v>0.31996408879428972</v>
      </c>
      <c r="C26" s="32" t="s">
        <v>133</v>
      </c>
      <c r="D26" s="33">
        <v>0.38789442566392002</v>
      </c>
      <c r="E26" s="32" t="s">
        <v>183</v>
      </c>
      <c r="F26" s="34">
        <v>0.45003853281722772</v>
      </c>
      <c r="G26" s="32" t="s">
        <v>243</v>
      </c>
      <c r="H26" s="34">
        <v>0.50710550703317347</v>
      </c>
      <c r="I26" s="32" t="s">
        <v>291</v>
      </c>
      <c r="J26" s="34">
        <v>0.55969312691505757</v>
      </c>
      <c r="K26" s="32" t="s">
        <v>339</v>
      </c>
      <c r="L26" s="34">
        <v>0.60830887218350649</v>
      </c>
      <c r="M26" s="32" t="s">
        <v>387</v>
      </c>
      <c r="N26" s="34">
        <v>0.65338635360417874</v>
      </c>
      <c r="O26" s="32" t="s">
        <v>435</v>
      </c>
      <c r="P26" s="34">
        <v>0.69529828155429807</v>
      </c>
      <c r="Q26" s="32" t="s">
        <v>483</v>
      </c>
      <c r="R26" s="34">
        <v>0.73436679512516945</v>
      </c>
      <c r="T26" s="32" t="s">
        <v>535</v>
      </c>
      <c r="U26" s="33">
        <f>'Tabel Kadar Emas'!B477</f>
        <v>0.77087175793679708</v>
      </c>
      <c r="V26" s="32" t="s">
        <v>585</v>
      </c>
      <c r="W26" s="33">
        <f>'Tabel Kadar Emas'!B527</f>
        <v>0.80505747279342921</v>
      </c>
      <c r="X26" s="32" t="s">
        <v>634</v>
      </c>
      <c r="Y26" s="34">
        <f>'Tabel Kadar Emas'!B577</f>
        <v>0.83713815594706686</v>
      </c>
      <c r="Z26" s="32" t="s">
        <v>684</v>
      </c>
      <c r="AA26" s="34">
        <f>'Tabel Kadar Emas'!B627</f>
        <v>0.86730243031016463</v>
      </c>
      <c r="AB26" s="32" t="s">
        <v>734</v>
      </c>
      <c r="AC26" s="34">
        <f>'Tabel Kadar Emas'!B677</f>
        <v>0.89571703678677195</v>
      </c>
      <c r="AD26" s="32" t="s">
        <v>784</v>
      </c>
      <c r="AE26" s="34">
        <f>'Tabel Kadar Emas'!B727</f>
        <v>0.92252991798284878</v>
      </c>
      <c r="AF26" s="32" t="s">
        <v>834</v>
      </c>
      <c r="AG26" s="34">
        <f>'Tabel Kadar Emas'!B777</f>
        <v>0.9478727947273865</v>
      </c>
      <c r="AH26" s="32" t="s">
        <v>884</v>
      </c>
      <c r="AI26" s="34">
        <f>'Tabel Kadar Emas'!B827</f>
        <v>0.97186333013016646</v>
      </c>
      <c r="AJ26" s="32" t="s">
        <v>934</v>
      </c>
      <c r="AK26" s="34">
        <f>'Tabel Kadar Emas'!B877</f>
        <v>0.99460695620847772</v>
      </c>
    </row>
    <row r="27" spans="1:37" x14ac:dyDescent="0.25">
      <c r="A27" s="32" t="s">
        <v>83</v>
      </c>
      <c r="B27" s="33">
        <v>0.32138462272250301</v>
      </c>
      <c r="C27" s="32" t="s">
        <v>134</v>
      </c>
      <c r="D27" s="33">
        <v>0.38919144222921753</v>
      </c>
      <c r="E27" s="32" t="s">
        <v>184</v>
      </c>
      <c r="F27" s="34">
        <v>0.4512274685864246</v>
      </c>
      <c r="G27" s="32" t="s">
        <v>244</v>
      </c>
      <c r="H27" s="34">
        <v>0.50819932952671676</v>
      </c>
      <c r="I27" s="32" t="s">
        <v>292</v>
      </c>
      <c r="J27" s="34">
        <v>0.56070280921678983</v>
      </c>
      <c r="K27" s="32" t="s">
        <v>340</v>
      </c>
      <c r="L27" s="34">
        <v>0.60924376213780085</v>
      </c>
      <c r="M27" s="32" t="s">
        <v>388</v>
      </c>
      <c r="N27" s="34">
        <v>0.6542544639372837</v>
      </c>
      <c r="O27" s="32" t="s">
        <v>436</v>
      </c>
      <c r="P27" s="34">
        <v>0.69610651999645212</v>
      </c>
      <c r="Q27" s="32" t="s">
        <v>484</v>
      </c>
      <c r="R27" s="34">
        <v>0.73512114852618526</v>
      </c>
      <c r="T27" s="32" t="s">
        <v>536</v>
      </c>
      <c r="U27" s="33">
        <f>'Tabel Kadar Emas'!B478</f>
        <v>0.77157744075888668</v>
      </c>
      <c r="V27" s="32" t="s">
        <v>586</v>
      </c>
      <c r="W27" s="33">
        <f>'Tabel Kadar Emas'!B528</f>
        <v>0.80571904777046444</v>
      </c>
      <c r="X27" s="32" t="s">
        <v>635</v>
      </c>
      <c r="Y27" s="34">
        <f>'Tabel Kadar Emas'!B578</f>
        <v>0.83775963281209864</v>
      </c>
      <c r="Z27" s="32" t="s">
        <v>685</v>
      </c>
      <c r="AA27" s="34">
        <f>'Tabel Kadar Emas'!B628</f>
        <v>0.86788734710497883</v>
      </c>
      <c r="AB27" s="32" t="s">
        <v>735</v>
      </c>
      <c r="AC27" s="34">
        <f>'Tabel Kadar Emas'!B678</f>
        <v>0.89626852723595274</v>
      </c>
      <c r="AD27" s="32" t="s">
        <v>785</v>
      </c>
      <c r="AE27" s="34">
        <f>'Tabel Kadar Emas'!B728</f>
        <v>0.92305076764123806</v>
      </c>
      <c r="AF27" s="32" t="s">
        <v>835</v>
      </c>
      <c r="AG27" s="34">
        <f>'Tabel Kadar Emas'!B778</f>
        <v>0.94836548802431597</v>
      </c>
      <c r="AH27" s="32" t="s">
        <v>885</v>
      </c>
      <c r="AI27" s="34">
        <f>'Tabel Kadar Emas'!B828</f>
        <v>0.97233008998696291</v>
      </c>
      <c r="AJ27" s="32" t="s">
        <v>935</v>
      </c>
      <c r="AK27" s="34">
        <f>'Tabel Kadar Emas'!B878</f>
        <v>0.99504977756194002</v>
      </c>
    </row>
    <row r="28" spans="1:37" x14ac:dyDescent="0.25">
      <c r="A28" s="32" t="s">
        <v>84</v>
      </c>
      <c r="B28" s="33">
        <v>0.3228025162530801</v>
      </c>
      <c r="C28" s="32" t="s">
        <v>135</v>
      </c>
      <c r="D28" s="33">
        <v>0.390486155035074</v>
      </c>
      <c r="E28" s="32" t="s">
        <v>185</v>
      </c>
      <c r="F28" s="34">
        <v>0.452414382356014</v>
      </c>
      <c r="G28" s="32" t="s">
        <v>245</v>
      </c>
      <c r="H28" s="34">
        <v>0.50929136764425076</v>
      </c>
      <c r="I28" s="32" t="s">
        <v>293</v>
      </c>
      <c r="J28" s="34">
        <v>0.56171090894438125</v>
      </c>
      <c r="K28" s="32" t="s">
        <v>341</v>
      </c>
      <c r="L28" s="34">
        <v>0.61017724200166645</v>
      </c>
      <c r="M28" s="32" t="s">
        <v>389</v>
      </c>
      <c r="N28" s="34">
        <v>0.6551213124821138</v>
      </c>
      <c r="O28" s="32" t="s">
        <v>437</v>
      </c>
      <c r="P28" s="34">
        <v>0.69691362486435326</v>
      </c>
      <c r="Q28" s="32" t="s">
        <v>485</v>
      </c>
      <c r="R28" s="34">
        <v>0.73587447976812104</v>
      </c>
      <c r="T28" s="32" t="s">
        <v>537</v>
      </c>
      <c r="U28" s="33">
        <f>'Tabel Kadar Emas'!B479</f>
        <v>0.77228219870178627</v>
      </c>
      <c r="V28" s="32" t="s">
        <v>587</v>
      </c>
      <c r="W28" s="33">
        <f>'Tabel Kadar Emas'!B529</f>
        <v>0.80637978318534587</v>
      </c>
      <c r="X28" s="32" t="s">
        <v>636</v>
      </c>
      <c r="Y28" s="34">
        <f>'Tabel Kadar Emas'!B579</f>
        <v>0.83838034525294225</v>
      </c>
      <c r="Z28" s="32" t="s">
        <v>686</v>
      </c>
      <c r="AA28" s="34">
        <f>'Tabel Kadar Emas'!B629</f>
        <v>0.86847156590839092</v>
      </c>
      <c r="AB28" s="32" t="s">
        <v>736</v>
      </c>
      <c r="AC28" s="34">
        <f>'Tabel Kadar Emas'!B679</f>
        <v>0.8968193786463744</v>
      </c>
      <c r="AD28" s="32" t="s">
        <v>786</v>
      </c>
      <c r="AE28" s="34">
        <f>'Tabel Kadar Emas'!B729</f>
        <v>0.92357103075721925</v>
      </c>
      <c r="AF28" s="32" t="s">
        <v>836</v>
      </c>
      <c r="AG28" s="34">
        <f>'Tabel Kadar Emas'!B779</f>
        <v>0.94885764167908015</v>
      </c>
      <c r="AH28" s="32" t="s">
        <v>886</v>
      </c>
      <c r="AI28" s="34">
        <f>'Tabel Kadar Emas'!B829</f>
        <v>0.97279635223197192</v>
      </c>
      <c r="AJ28" s="32" t="s">
        <v>936</v>
      </c>
      <c r="AK28" s="34">
        <f>'Tabel Kadar Emas'!B879</f>
        <v>0.99549213908014456</v>
      </c>
    </row>
    <row r="29" spans="1:37" x14ac:dyDescent="0.25">
      <c r="A29" s="32" t="s">
        <v>85</v>
      </c>
      <c r="B29" s="33">
        <v>0.32421777674088925</v>
      </c>
      <c r="C29" s="32" t="s">
        <v>136</v>
      </c>
      <c r="D29" s="33">
        <v>0.39177857021394585</v>
      </c>
      <c r="E29" s="32" t="s">
        <v>186</v>
      </c>
      <c r="F29" s="34">
        <v>0.45359927927977572</v>
      </c>
      <c r="G29" s="32" t="s">
        <v>246</v>
      </c>
      <c r="H29" s="34">
        <v>0.51038162574855339</v>
      </c>
      <c r="I29" s="32" t="s">
        <v>294</v>
      </c>
      <c r="J29" s="34">
        <v>0.56271742981570405</v>
      </c>
      <c r="K29" s="32" t="s">
        <v>342</v>
      </c>
      <c r="L29" s="34">
        <v>0.61110931496294885</v>
      </c>
      <c r="M29" s="32" t="s">
        <v>390</v>
      </c>
      <c r="N29" s="34">
        <v>0.65598690198766318</v>
      </c>
      <c r="O29" s="32" t="s">
        <v>438</v>
      </c>
      <c r="P29" s="34">
        <v>0.69771959854112919</v>
      </c>
      <c r="Q29" s="32" t="s">
        <v>486</v>
      </c>
      <c r="R29" s="34">
        <v>0.73662679092712968</v>
      </c>
      <c r="T29" s="32" t="s">
        <v>538</v>
      </c>
      <c r="U29" s="33">
        <f>'Tabel Kadar Emas'!B480</f>
        <v>0.77298603358254703</v>
      </c>
      <c r="V29" s="32" t="s">
        <v>588</v>
      </c>
      <c r="W29" s="33">
        <f>'Tabel Kadar Emas'!B530</f>
        <v>0.80703968063521137</v>
      </c>
      <c r="X29" s="32" t="s">
        <v>637</v>
      </c>
      <c r="Y29" s="34">
        <f>'Tabel Kadar Emas'!B580</f>
        <v>0.83900029467910731</v>
      </c>
      <c r="Z29" s="32" t="s">
        <v>687</v>
      </c>
      <c r="AA29" s="34">
        <f>'Tabel Kadar Emas'!B630</f>
        <v>0.86905508796904385</v>
      </c>
      <c r="AB29" s="32" t="s">
        <v>737</v>
      </c>
      <c r="AC29" s="34">
        <f>'Tabel Kadar Emas'!B680</f>
        <v>0.8973695921281214</v>
      </c>
      <c r="AD29" s="32" t="s">
        <v>787</v>
      </c>
      <c r="AE29" s="34">
        <f>'Tabel Kadar Emas'!B730</f>
        <v>0.92409070832101559</v>
      </c>
      <c r="AF29" s="32" t="s">
        <v>837</v>
      </c>
      <c r="AG29" s="34">
        <f>'Tabel Kadar Emas'!B780</f>
        <v>0.94934925657779079</v>
      </c>
      <c r="AH29" s="32" t="s">
        <v>887</v>
      </c>
      <c r="AI29" s="34">
        <f>'Tabel Kadar Emas'!B830</f>
        <v>0.97326211766052362</v>
      </c>
      <c r="AJ29" s="32" t="s">
        <v>937</v>
      </c>
      <c r="AK29" s="34">
        <f>'Tabel Kadar Emas'!B880</f>
        <v>0.99593404147897346</v>
      </c>
    </row>
    <row r="30" spans="1:37" x14ac:dyDescent="0.25">
      <c r="A30" s="32" t="s">
        <v>86</v>
      </c>
      <c r="B30" s="33">
        <v>0.32563041151350774</v>
      </c>
      <c r="C30" s="32" t="s">
        <v>137</v>
      </c>
      <c r="D30" s="33">
        <v>0.39306869387654297</v>
      </c>
      <c r="E30" s="32" t="s">
        <v>187</v>
      </c>
      <c r="F30" s="34">
        <v>0.45478216449398928</v>
      </c>
      <c r="G30" s="32" t="s">
        <v>247</v>
      </c>
      <c r="H30" s="34">
        <v>0.51147010818819094</v>
      </c>
      <c r="I30" s="32" t="s">
        <v>295</v>
      </c>
      <c r="J30" s="34">
        <v>0.56372237553699345</v>
      </c>
      <c r="K30" s="32" t="s">
        <v>343</v>
      </c>
      <c r="L30" s="34">
        <v>0.61203998419989203</v>
      </c>
      <c r="M30" s="32" t="s">
        <v>391</v>
      </c>
      <c r="N30" s="34">
        <v>0.65685123519494626</v>
      </c>
      <c r="O30" s="32" t="s">
        <v>439</v>
      </c>
      <c r="P30" s="34">
        <v>0.69852444340323172</v>
      </c>
      <c r="Q30" s="32" t="s">
        <v>487</v>
      </c>
      <c r="R30" s="34">
        <v>0.73737808407374428</v>
      </c>
      <c r="T30" s="32" t="s">
        <v>539</v>
      </c>
      <c r="U30" s="33">
        <f>'Tabel Kadar Emas'!B481</f>
        <v>0.77368894721346404</v>
      </c>
      <c r="V30" s="32" t="s">
        <v>589</v>
      </c>
      <c r="W30" s="33">
        <f>'Tabel Kadar Emas'!B531</f>
        <v>0.80769874171315081</v>
      </c>
      <c r="X30" s="32" t="s">
        <v>638</v>
      </c>
      <c r="Y30" s="34">
        <f>'Tabel Kadar Emas'!B581</f>
        <v>0.83961948249664087</v>
      </c>
      <c r="Z30" s="32" t="s">
        <v>688</v>
      </c>
      <c r="AA30" s="34">
        <f>'Tabel Kadar Emas'!B631</f>
        <v>0.86963791453260442</v>
      </c>
      <c r="AB30" s="32" t="s">
        <v>738</v>
      </c>
      <c r="AC30" s="34">
        <f>'Tabel Kadar Emas'!B681</f>
        <v>0.89791916878870914</v>
      </c>
      <c r="AD30" s="32" t="s">
        <v>788</v>
      </c>
      <c r="AE30" s="34">
        <f>'Tabel Kadar Emas'!B731</f>
        <v>0.92460980132062343</v>
      </c>
      <c r="AF30" s="32" t="s">
        <v>838</v>
      </c>
      <c r="AG30" s="34">
        <f>'Tabel Kadar Emas'!B781</f>
        <v>0.94984033360462106</v>
      </c>
      <c r="AH30" s="32" t="s">
        <v>888</v>
      </c>
      <c r="AI30" s="34">
        <f>'Tabel Kadar Emas'!B831</f>
        <v>0.97372738706625483</v>
      </c>
      <c r="AJ30" s="32" t="s">
        <v>938</v>
      </c>
      <c r="AK30" s="34">
        <f>'Tabel Kadar Emas'!B881</f>
        <v>0.99637548547282451</v>
      </c>
    </row>
    <row r="31" spans="1:37" x14ac:dyDescent="0.25">
      <c r="A31" s="32" t="s">
        <v>87</v>
      </c>
      <c r="B31" s="33">
        <v>0.32704042787134835</v>
      </c>
      <c r="C31" s="32" t="s">
        <v>138</v>
      </c>
      <c r="D31" s="33">
        <v>0.39435653211192562</v>
      </c>
      <c r="E31" s="32" t="s">
        <v>188</v>
      </c>
      <c r="F31" s="34">
        <v>0.4559630431175089</v>
      </c>
      <c r="G31" s="32" t="s">
        <v>248</v>
      </c>
      <c r="H31" s="34">
        <v>0.5125568192975769</v>
      </c>
      <c r="I31" s="32" t="s">
        <v>296</v>
      </c>
      <c r="J31" s="34">
        <v>0.5647257498028937</v>
      </c>
      <c r="K31" s="32" t="s">
        <v>344</v>
      </c>
      <c r="L31" s="34">
        <v>0.61296925288117399</v>
      </c>
      <c r="M31" s="32" t="s">
        <v>392</v>
      </c>
      <c r="N31" s="34">
        <v>0.65771431483702625</v>
      </c>
      <c r="O31" s="32" t="s">
        <v>440</v>
      </c>
      <c r="P31" s="34">
        <v>0.69932816182046065</v>
      </c>
      <c r="Q31" s="32" t="s">
        <v>488</v>
      </c>
      <c r="R31" s="34">
        <v>0.73812836127289894</v>
      </c>
      <c r="T31" s="32" t="s">
        <v>540</v>
      </c>
      <c r="U31" s="33">
        <f>'Tabel Kadar Emas'!B482</f>
        <v>0.77439094140209064</v>
      </c>
      <c r="V31" s="32" t="s">
        <v>590</v>
      </c>
      <c r="W31" s="33">
        <f>'Tabel Kadar Emas'!B532</f>
        <v>0.80835696800821755</v>
      </c>
      <c r="X31" s="32" t="s">
        <v>639</v>
      </c>
      <c r="Y31" s="34">
        <f>'Tabel Kadar Emas'!B582</f>
        <v>0.84023791010813664</v>
      </c>
      <c r="Z31" s="32" t="s">
        <v>689</v>
      </c>
      <c r="AA31" s="34">
        <f>'Tabel Kadar Emas'!B632</f>
        <v>0.87022004684177101</v>
      </c>
      <c r="AB31" s="32" t="s">
        <v>739</v>
      </c>
      <c r="AC31" s="34">
        <f>'Tabel Kadar Emas'!B682</f>
        <v>0.8984681097330901</v>
      </c>
      <c r="AD31" s="32" t="s">
        <v>789</v>
      </c>
      <c r="AE31" s="34">
        <f>'Tabel Kadar Emas'!B732</f>
        <v>0.92512831074181667</v>
      </c>
      <c r="AF31" s="32" t="s">
        <v>839</v>
      </c>
      <c r="AG31" s="34">
        <f>'Tabel Kadar Emas'!B782</f>
        <v>0.95033087364181024</v>
      </c>
      <c r="AH31" s="32" t="s">
        <v>889</v>
      </c>
      <c r="AI31" s="34">
        <f>'Tabel Kadar Emas'!B832</f>
        <v>0.97419216124111219</v>
      </c>
      <c r="AJ31" s="32" t="s">
        <v>939</v>
      </c>
      <c r="AK31" s="34">
        <f>'Tabel Kadar Emas'!B882</f>
        <v>0.9968164717746133</v>
      </c>
    </row>
    <row r="32" spans="1:37" x14ac:dyDescent="0.25">
      <c r="A32" s="32" t="s">
        <v>88</v>
      </c>
      <c r="B32" s="33">
        <v>0.32844783308778586</v>
      </c>
      <c r="C32" s="32" t="s">
        <v>139</v>
      </c>
      <c r="D32" s="33">
        <v>0.39564209098759973</v>
      </c>
      <c r="E32" s="32" t="s">
        <v>189</v>
      </c>
      <c r="F32" s="34">
        <v>0.45714192025183631</v>
      </c>
      <c r="G32" s="32" t="s">
        <v>249</v>
      </c>
      <c r="H32" s="34">
        <v>0.51364176339702916</v>
      </c>
      <c r="I32" s="32" t="s">
        <v>297</v>
      </c>
      <c r="J32" s="34">
        <v>0.56572755629650384</v>
      </c>
      <c r="K32" s="32" t="s">
        <v>345</v>
      </c>
      <c r="L32" s="34">
        <v>0.61389712416594289</v>
      </c>
      <c r="M32" s="32" t="s">
        <v>393</v>
      </c>
      <c r="N32" s="34">
        <v>0.6585761436390456</v>
      </c>
      <c r="O32" s="32" t="s">
        <v>441</v>
      </c>
      <c r="P32" s="34">
        <v>0.70013075615598763</v>
      </c>
      <c r="Q32" s="32" t="s">
        <v>489</v>
      </c>
      <c r="R32" s="34">
        <v>0.7388776245839469</v>
      </c>
      <c r="T32" s="32" t="s">
        <v>541</v>
      </c>
      <c r="U32" s="33">
        <f>'Tabel Kadar Emas'!B483</f>
        <v>0.77509201795125493</v>
      </c>
      <c r="V32" s="32" t="s">
        <v>591</v>
      </c>
      <c r="W32" s="33">
        <f>'Tabel Kadar Emas'!B533</f>
        <v>0.80901436110544267</v>
      </c>
      <c r="X32" s="32" t="s">
        <v>640</v>
      </c>
      <c r="Y32" s="34">
        <f>'Tabel Kadar Emas'!B583</f>
        <v>0.84085557891274743</v>
      </c>
      <c r="Z32" s="32" t="s">
        <v>690</v>
      </c>
      <c r="AA32" s="34">
        <f>'Tabel Kadar Emas'!B633</f>
        <v>0.87080148613628416</v>
      </c>
      <c r="AB32" s="32" t="s">
        <v>740</v>
      </c>
      <c r="AC32" s="34">
        <f>'Tabel Kadar Emas'!B683</f>
        <v>0.89901641606366267</v>
      </c>
      <c r="AD32" s="32" t="s">
        <v>790</v>
      </c>
      <c r="AE32" s="34">
        <f>'Tabel Kadar Emas'!B733</f>
        <v>0.92564623756815478</v>
      </c>
      <c r="AF32" s="32" t="s">
        <v>840</v>
      </c>
      <c r="AG32" s="34">
        <f>'Tabel Kadar Emas'!B783</f>
        <v>0.95082087756966915</v>
      </c>
      <c r="AH32" s="32" t="s">
        <v>890</v>
      </c>
      <c r="AI32" s="34">
        <f>'Tabel Kadar Emas'!B833</f>
        <v>0.97465644097535831</v>
      </c>
      <c r="AJ32" s="32" t="s">
        <v>940</v>
      </c>
      <c r="AK32" s="34">
        <f>'Tabel Kadar Emas'!B883</f>
        <v>0.99725700109577864</v>
      </c>
    </row>
    <row r="33" spans="1:37" x14ac:dyDescent="0.25">
      <c r="A33" s="32" t="s">
        <v>89</v>
      </c>
      <c r="B33" s="33">
        <v>0.32985263440928053</v>
      </c>
      <c r="C33" s="32" t="s">
        <v>140</v>
      </c>
      <c r="D33" s="33">
        <v>0.39692537654961224</v>
      </c>
      <c r="E33" s="32" t="s">
        <v>190</v>
      </c>
      <c r="F33" s="34">
        <v>0.45831880098119421</v>
      </c>
      <c r="G33" s="32" t="s">
        <v>250</v>
      </c>
      <c r="H33" s="34">
        <v>0.5147249447928266</v>
      </c>
      <c r="I33" s="32" t="s">
        <v>298</v>
      </c>
      <c r="J33" s="34">
        <v>0.56672779868942103</v>
      </c>
      <c r="K33" s="32" t="s">
        <v>346</v>
      </c>
      <c r="L33" s="34">
        <v>0.61482360120385249</v>
      </c>
      <c r="M33" s="32" t="s">
        <v>394</v>
      </c>
      <c r="N33" s="34">
        <v>0.65943672431825251</v>
      </c>
      <c r="O33" s="32" t="s">
        <v>442</v>
      </c>
      <c r="P33" s="34">
        <v>0.70093222876637717</v>
      </c>
      <c r="Q33" s="32" t="s">
        <v>490</v>
      </c>
      <c r="R33" s="34">
        <v>0.73962587606067853</v>
      </c>
      <c r="T33" s="32" t="s">
        <v>542</v>
      </c>
      <c r="U33" s="33">
        <f>'Tabel Kadar Emas'!B484</f>
        <v>0.7757921786590749</v>
      </c>
      <c r="V33" s="32" t="s">
        <v>592</v>
      </c>
      <c r="W33" s="33">
        <f>'Tabel Kadar Emas'!B534</f>
        <v>0.80967092258584628</v>
      </c>
      <c r="X33" s="32" t="s">
        <v>641</v>
      </c>
      <c r="Y33" s="34">
        <f>'Tabel Kadar Emas'!B584</f>
        <v>0.84147249030619364</v>
      </c>
      <c r="Z33" s="32" t="s">
        <v>691</v>
      </c>
      <c r="AA33" s="34">
        <f>'Tabel Kadar Emas'!B634</f>
        <v>0.87138223365293332</v>
      </c>
      <c r="AB33" s="32" t="s">
        <v>741</v>
      </c>
      <c r="AC33" s="34">
        <f>'Tabel Kadar Emas'!B684</f>
        <v>0.89956408888027728</v>
      </c>
      <c r="AD33" s="32" t="s">
        <v>791</v>
      </c>
      <c r="AE33" s="34">
        <f>'Tabel Kadar Emas'!B734</f>
        <v>0.92616358278098754</v>
      </c>
      <c r="AF33" s="32" t="s">
        <v>841</v>
      </c>
      <c r="AG33" s="34">
        <f>'Tabel Kadar Emas'!B784</f>
        <v>0.95131034626658539</v>
      </c>
      <c r="AH33" s="32" t="s">
        <v>891</v>
      </c>
      <c r="AI33" s="34">
        <f>'Tabel Kadar Emas'!B834</f>
        <v>0.97512022705757417</v>
      </c>
      <c r="AJ33" s="32" t="s">
        <v>941</v>
      </c>
      <c r="AK33" s="34">
        <f>'Tabel Kadar Emas'!B884</f>
        <v>0.99769707414628483</v>
      </c>
    </row>
    <row r="34" spans="1:37" x14ac:dyDescent="0.25">
      <c r="A34" s="32" t="s">
        <v>90</v>
      </c>
      <c r="B34" s="33">
        <v>0.33125483905550435</v>
      </c>
      <c r="C34" s="32" t="s">
        <v>141</v>
      </c>
      <c r="D34" s="33">
        <v>0.39820639482264558</v>
      </c>
      <c r="E34" s="32" t="s">
        <v>191</v>
      </c>
      <c r="F34" s="34">
        <v>0.45949369037260063</v>
      </c>
      <c r="G34" s="32" t="s">
        <v>251</v>
      </c>
      <c r="H34" s="34">
        <v>0.51580636777726707</v>
      </c>
      <c r="I34" s="32" t="s">
        <v>299</v>
      </c>
      <c r="J34" s="34">
        <v>0.56772648064178777</v>
      </c>
      <c r="K34" s="32" t="s">
        <v>347</v>
      </c>
      <c r="L34" s="34">
        <v>0.61574868713509845</v>
      </c>
      <c r="M34" s="32" t="s">
        <v>395</v>
      </c>
      <c r="N34" s="34">
        <v>0.66029605958403059</v>
      </c>
      <c r="O34" s="32" t="s">
        <v>443</v>
      </c>
      <c r="P34" s="34">
        <v>0.70173258200161259</v>
      </c>
      <c r="Q34" s="32" t="s">
        <v>491</v>
      </c>
      <c r="R34" s="34">
        <v>0.74037311775134163</v>
      </c>
      <c r="T34" s="32" t="s">
        <v>543</v>
      </c>
      <c r="U34" s="33">
        <f>'Tabel Kadar Emas'!B485</f>
        <v>0.77649142531897353</v>
      </c>
      <c r="V34" s="32" t="s">
        <v>593</v>
      </c>
      <c r="W34" s="33">
        <f>'Tabel Kadar Emas'!B535</f>
        <v>0.81032665402645165</v>
      </c>
      <c r="X34" s="32" t="s">
        <v>642</v>
      </c>
      <c r="Y34" s="34">
        <f>'Tabel Kadar Emas'!B585</f>
        <v>0.84208864568077546</v>
      </c>
      <c r="Z34" s="32" t="s">
        <v>692</v>
      </c>
      <c r="AA34" s="34">
        <f>'Tabel Kadar Emas'!B635</f>
        <v>0.87196229062556752</v>
      </c>
      <c r="AB34" s="32" t="s">
        <v>742</v>
      </c>
      <c r="AC34" s="34">
        <f>'Tabel Kadar Emas'!B685</f>
        <v>0.90011112928024462</v>
      </c>
      <c r="AD34" s="32" t="s">
        <v>792</v>
      </c>
      <c r="AE34" s="34">
        <f>'Tabel Kadar Emas'!B735</f>
        <v>0.9266803473594627</v>
      </c>
      <c r="AF34" s="32" t="s">
        <v>842</v>
      </c>
      <c r="AG34" s="34">
        <f>'Tabel Kadar Emas'!B785</f>
        <v>0.9517992806090293</v>
      </c>
      <c r="AH34" s="32" t="s">
        <v>892</v>
      </c>
      <c r="AI34" s="34">
        <f>'Tabel Kadar Emas'!B835</f>
        <v>0.97558352027466566</v>
      </c>
      <c r="AJ34" s="32" t="s">
        <v>942</v>
      </c>
      <c r="AK34" s="34">
        <f>'Tabel Kadar Emas'!B885</f>
        <v>0.99813669163462726</v>
      </c>
    </row>
    <row r="35" spans="1:37" x14ac:dyDescent="0.25">
      <c r="A35" s="32" t="s">
        <v>91</v>
      </c>
      <c r="B35" s="33">
        <v>0.33265445421946399</v>
      </c>
      <c r="C35" s="32" t="s">
        <v>142</v>
      </c>
      <c r="D35" s="33">
        <v>0.39948515181011324</v>
      </c>
      <c r="E35" s="32" t="s">
        <v>192</v>
      </c>
      <c r="F35" s="34">
        <v>0.46066659347594047</v>
      </c>
      <c r="G35" s="32" t="s">
        <v>252</v>
      </c>
      <c r="H35" s="34">
        <v>0.51688603662872401</v>
      </c>
      <c r="I35" s="32" t="s">
        <v>300</v>
      </c>
      <c r="J35" s="34">
        <v>0.56872360580233494</v>
      </c>
      <c r="K35" s="32" t="s">
        <v>348</v>
      </c>
      <c r="L35" s="34">
        <v>0.61667238509045363</v>
      </c>
      <c r="M35" s="32" t="s">
        <v>396</v>
      </c>
      <c r="N35" s="34">
        <v>0.6611541521379275</v>
      </c>
      <c r="O35" s="32" t="s">
        <v>444</v>
      </c>
      <c r="P35" s="34">
        <v>0.70253181820511712</v>
      </c>
      <c r="Q35" s="32" t="s">
        <v>492</v>
      </c>
      <c r="R35" s="34">
        <v>0.74111935169865939</v>
      </c>
      <c r="T35" s="32" t="s">
        <v>544</v>
      </c>
      <c r="U35" s="33">
        <f>'Tabel Kadar Emas'!B486</f>
        <v>0.77718975971969406</v>
      </c>
      <c r="V35" s="32" t="s">
        <v>594</v>
      </c>
      <c r="W35" s="33">
        <f>'Tabel Kadar Emas'!B536</f>
        <v>0.81098155700029695</v>
      </c>
      <c r="X35" s="32" t="s">
        <v>643</v>
      </c>
      <c r="Y35" s="34">
        <f>'Tabel Kadar Emas'!B586</f>
        <v>0.84270404642538199</v>
      </c>
      <c r="Z35" s="32" t="s">
        <v>693</v>
      </c>
      <c r="AA35" s="34">
        <f>'Tabel Kadar Emas'!B636</f>
        <v>0.87254165828510277</v>
      </c>
      <c r="AB35" s="32" t="s">
        <v>743</v>
      </c>
      <c r="AC35" s="34">
        <f>'Tabel Kadar Emas'!B686</f>
        <v>0.90065753835834217</v>
      </c>
      <c r="AD35" s="32" t="s">
        <v>793</v>
      </c>
      <c r="AE35" s="34">
        <f>'Tabel Kadar Emas'!B736</f>
        <v>0.92719653228053056</v>
      </c>
      <c r="AF35" s="32" t="s">
        <v>843</v>
      </c>
      <c r="AG35" s="34">
        <f>'Tabel Kadar Emas'!B786</f>
        <v>0.95228768147155762</v>
      </c>
      <c r="AH35" s="32" t="s">
        <v>893</v>
      </c>
      <c r="AI35" s="34">
        <f>'Tabel Kadar Emas'!B836</f>
        <v>0.97604632141186631</v>
      </c>
      <c r="AJ35" s="32" t="s">
        <v>943</v>
      </c>
      <c r="AK35" s="34">
        <f>'Tabel Kadar Emas'!B886</f>
        <v>0.99857585426783402</v>
      </c>
    </row>
    <row r="36" spans="1:37" x14ac:dyDescent="0.25">
      <c r="A36" s="32" t="s">
        <v>92</v>
      </c>
      <c r="B36" s="33">
        <v>0.33405148706762267</v>
      </c>
      <c r="C36" s="32" t="s">
        <v>143</v>
      </c>
      <c r="D36" s="33">
        <v>0.4007616534942523</v>
      </c>
      <c r="E36" s="32" t="s">
        <v>193</v>
      </c>
      <c r="F36" s="34">
        <v>0.46183751532403811</v>
      </c>
      <c r="G36" s="32" t="s">
        <v>253</v>
      </c>
      <c r="H36" s="34">
        <v>0.51796395561170183</v>
      </c>
      <c r="I36" s="32" t="s">
        <v>301</v>
      </c>
      <c r="J36" s="34">
        <v>0.56971917780842629</v>
      </c>
      <c r="K36" s="32" t="s">
        <v>349</v>
      </c>
      <c r="L36" s="34">
        <v>0.61759469819130297</v>
      </c>
      <c r="M36" s="32" t="s">
        <v>397</v>
      </c>
      <c r="N36" s="34">
        <v>0.6620110046736829</v>
      </c>
      <c r="O36" s="32" t="s">
        <v>445</v>
      </c>
      <c r="P36" s="34">
        <v>0.70332993971377711</v>
      </c>
      <c r="Q36" s="32" t="s">
        <v>493</v>
      </c>
      <c r="R36" s="34">
        <v>0.74186457993984878</v>
      </c>
      <c r="T36" s="32" t="s">
        <v>545</v>
      </c>
      <c r="U36" s="33">
        <f>'Tabel Kadar Emas'!B487</f>
        <v>0.77788718364531584</v>
      </c>
      <c r="V36" s="32" t="s">
        <v>595</v>
      </c>
      <c r="W36" s="33">
        <f>'Tabel Kadar Emas'!B537</f>
        <v>0.81163563307644793</v>
      </c>
      <c r="X36" s="32" t="s">
        <v>644</v>
      </c>
      <c r="Y36" s="34">
        <f>'Tabel Kadar Emas'!B587</f>
        <v>0.8433186939255034</v>
      </c>
      <c r="Z36" s="32" t="s">
        <v>694</v>
      </c>
      <c r="AA36" s="34">
        <f>'Tabel Kadar Emas'!B637</f>
        <v>0.8731203378595318</v>
      </c>
      <c r="AB36" s="32" t="s">
        <v>744</v>
      </c>
      <c r="AC36" s="34">
        <f>'Tabel Kadar Emas'!B687</f>
        <v>0.90120331720682278</v>
      </c>
      <c r="AD36" s="32" t="s">
        <v>794</v>
      </c>
      <c r="AE36" s="34">
        <f>'Tabel Kadar Emas'!B737</f>
        <v>0.92771213851895162</v>
      </c>
      <c r="AF36" s="32" t="s">
        <v>844</v>
      </c>
      <c r="AG36" s="34">
        <f>'Tabel Kadar Emas'!B787</f>
        <v>0.95277554972682055</v>
      </c>
      <c r="AH36" s="32" t="s">
        <v>894</v>
      </c>
      <c r="AI36" s="34">
        <f>'Tabel Kadar Emas'!B837</f>
        <v>0.97650863125274301</v>
      </c>
      <c r="AJ36" s="32" t="s">
        <v>944</v>
      </c>
      <c r="AK36" s="34">
        <f>'Tabel Kadar Emas'!B887</f>
        <v>0.99901456275147205</v>
      </c>
    </row>
    <row r="37" spans="1:37" x14ac:dyDescent="0.25">
      <c r="A37" s="32" t="s">
        <v>93</v>
      </c>
      <c r="B37" s="33">
        <v>0.33544594474002443</v>
      </c>
      <c r="C37" s="32" t="s">
        <v>144</v>
      </c>
      <c r="D37" s="33">
        <v>0.40203590583621629</v>
      </c>
      <c r="E37" s="32" t="s">
        <v>194</v>
      </c>
      <c r="F37" s="34">
        <v>0.46300646093272974</v>
      </c>
      <c r="G37" s="32" t="s">
        <v>254</v>
      </c>
      <c r="H37" s="34">
        <v>0.51904012897689367</v>
      </c>
      <c r="I37" s="32" t="s">
        <v>302</v>
      </c>
      <c r="J37" s="34">
        <v>0.57071320028610328</v>
      </c>
      <c r="K37" s="32" t="s">
        <v>350</v>
      </c>
      <c r="L37" s="34">
        <v>0.6185156295496792</v>
      </c>
      <c r="M37" s="32" t="s">
        <v>398</v>
      </c>
      <c r="N37" s="34">
        <v>0.66286661987725692</v>
      </c>
      <c r="O37" s="32" t="s">
        <v>446</v>
      </c>
      <c r="P37" s="34">
        <v>0.70412694885796523</v>
      </c>
      <c r="Q37" s="32" t="s">
        <v>494</v>
      </c>
      <c r="R37" s="34">
        <v>0.74260880450663913</v>
      </c>
      <c r="T37" s="32" t="s">
        <v>546</v>
      </c>
      <c r="U37" s="33">
        <f>'Tabel Kadar Emas'!B488</f>
        <v>0.77858369887526913</v>
      </c>
      <c r="V37" s="32" t="s">
        <v>596</v>
      </c>
      <c r="W37" s="33">
        <f>'Tabel Kadar Emas'!B538</f>
        <v>0.81228888382001085</v>
      </c>
      <c r="X37" s="32" t="s">
        <v>645</v>
      </c>
      <c r="Y37" s="34">
        <f>'Tabel Kadar Emas'!B588</f>
        <v>0.84393258956323935</v>
      </c>
      <c r="Z37" s="32" t="s">
        <v>695</v>
      </c>
      <c r="AA37" s="34">
        <f>'Tabel Kadar Emas'!B638</f>
        <v>0.87369833057393198</v>
      </c>
      <c r="AB37" s="32" t="s">
        <v>745</v>
      </c>
      <c r="AC37" s="34">
        <f>'Tabel Kadar Emas'!B688</f>
        <v>0.90174846691542043</v>
      </c>
      <c r="AD37" s="32" t="s">
        <v>795</v>
      </c>
      <c r="AE37" s="34">
        <f>'Tabel Kadar Emas'!B738</f>
        <v>0.92822716704730168</v>
      </c>
      <c r="AF37" s="32" t="s">
        <v>845</v>
      </c>
      <c r="AG37" s="34">
        <f>'Tabel Kadar Emas'!B788</f>
        <v>0.95326288624556543</v>
      </c>
      <c r="AH37" s="32" t="s">
        <v>895</v>
      </c>
      <c r="AI37" s="34">
        <f>'Tabel Kadar Emas'!B838</f>
        <v>0.97697045057919985</v>
      </c>
      <c r="AJ37" s="32" t="s">
        <v>945</v>
      </c>
      <c r="AK37" s="34">
        <f>'Tabel Kadar Emas'!B888</f>
        <v>0.9994528177896489</v>
      </c>
    </row>
    <row r="38" spans="1:37" x14ac:dyDescent="0.25">
      <c r="A38" s="32" t="s">
        <v>94</v>
      </c>
      <c r="B38" s="33">
        <v>0.33683783435041448</v>
      </c>
      <c r="C38" s="32" t="s">
        <v>145</v>
      </c>
      <c r="D38" s="33">
        <v>0.40330791477616995</v>
      </c>
      <c r="E38" s="32" t="s">
        <v>195</v>
      </c>
      <c r="F38" s="34">
        <v>0.46417343530093436</v>
      </c>
      <c r="G38" s="32" t="s">
        <v>255</v>
      </c>
      <c r="H38" s="34">
        <v>0.52011456096123554</v>
      </c>
      <c r="I38" s="32" t="s">
        <v>303</v>
      </c>
      <c r="J38" s="34">
        <v>0.57170567685012941</v>
      </c>
      <c r="K38" s="32" t="s">
        <v>351</v>
      </c>
      <c r="L38" s="34">
        <v>0.6194351822682973</v>
      </c>
      <c r="M38" s="32" t="s">
        <v>399</v>
      </c>
      <c r="N38" s="34">
        <v>0.66372100042685733</v>
      </c>
      <c r="O38" s="32" t="s">
        <v>447</v>
      </c>
      <c r="P38" s="34">
        <v>0.70492284796156235</v>
      </c>
      <c r="Q38" s="32" t="s">
        <v>495</v>
      </c>
      <c r="R38" s="34">
        <v>0.74335202742529105</v>
      </c>
      <c r="T38" s="32" t="s">
        <v>547</v>
      </c>
      <c r="U38" s="33">
        <f>'Tabel Kadar Emas'!B489</f>
        <v>0.7792793071843499</v>
      </c>
      <c r="V38" s="32" t="s">
        <v>597</v>
      </c>
      <c r="W38" s="33">
        <f>'Tabel Kadar Emas'!B539</f>
        <v>0.81294131079214416</v>
      </c>
      <c r="X38" s="32" t="s">
        <v>646</v>
      </c>
      <c r="Y38" s="34">
        <f>'Tabel Kadar Emas'!B589</f>
        <v>0.84454573471731031</v>
      </c>
      <c r="Z38" s="32" t="s">
        <v>696</v>
      </c>
      <c r="AA38" s="34">
        <f>'Tabel Kadar Emas'!B639</f>
        <v>0.87427563765047378</v>
      </c>
      <c r="AB38" s="32" t="s">
        <v>746</v>
      </c>
      <c r="AC38" s="34">
        <f>'Tabel Kadar Emas'!B689</f>
        <v>0.9022929885713582</v>
      </c>
      <c r="AD38" s="32" t="s">
        <v>796</v>
      </c>
      <c r="AE38" s="34">
        <f>'Tabel Kadar Emas'!B739</f>
        <v>0.92874161883597806</v>
      </c>
      <c r="AF38" s="32" t="s">
        <v>846</v>
      </c>
      <c r="AG38" s="34">
        <f>'Tabel Kadar Emas'!B789</f>
        <v>0.9537496918966426</v>
      </c>
      <c r="AH38" s="32" t="s">
        <v>896</v>
      </c>
      <c r="AI38" s="34">
        <f>'Tabel Kadar Emas'!B839</f>
        <v>0.97743178017148202</v>
      </c>
      <c r="AJ38" s="32" t="s">
        <v>946</v>
      </c>
      <c r="AK38" s="34">
        <f>'Tabel Kadar Emas'!B889</f>
        <v>0.99989062008501761</v>
      </c>
    </row>
    <row r="39" spans="1:37" x14ac:dyDescent="0.25">
      <c r="A39" s="32" t="s">
        <v>95</v>
      </c>
      <c r="B39" s="33">
        <v>0.33822716298636019</v>
      </c>
      <c r="C39" s="32" t="s">
        <v>146</v>
      </c>
      <c r="D39" s="33">
        <v>0.40457768623337964</v>
      </c>
      <c r="E39" s="32" t="s">
        <v>196</v>
      </c>
      <c r="F39" s="34">
        <v>0.46533844341072605</v>
      </c>
      <c r="G39" s="32" t="s">
        <v>256</v>
      </c>
      <c r="H39" s="34">
        <v>0.52118725578796354</v>
      </c>
      <c r="I39" s="32" t="s">
        <v>304</v>
      </c>
      <c r="J39" s="34">
        <v>0.57269661110403247</v>
      </c>
      <c r="K39" s="32" t="s">
        <v>352</v>
      </c>
      <c r="L39" s="34">
        <v>0.62035335944059011</v>
      </c>
      <c r="M39" s="32" t="s">
        <v>400</v>
      </c>
      <c r="N39" s="34">
        <v>0.66457414899296885</v>
      </c>
      <c r="O39" s="32" t="s">
        <v>448</v>
      </c>
      <c r="P39" s="34">
        <v>0.70571763934198128</v>
      </c>
      <c r="Q39" s="32" t="s">
        <v>496</v>
      </c>
      <c r="R39" s="34">
        <v>0.74409425071661484</v>
      </c>
      <c r="T39" s="32" t="s">
        <v>548</v>
      </c>
      <c r="U39" s="33">
        <f>'Tabel Kadar Emas'!B490</f>
        <v>0.77997401034273584</v>
      </c>
      <c r="V39" s="32" t="s">
        <v>598</v>
      </c>
      <c r="W39" s="33">
        <f>'Tabel Kadar Emas'!B540</f>
        <v>0.81359291555007185</v>
      </c>
      <c r="X39" s="32" t="s">
        <v>647</v>
      </c>
      <c r="Y39" s="34">
        <f>'Tabel Kadar Emas'!B590</f>
        <v>0.84515813076306867</v>
      </c>
      <c r="Z39" s="32" t="s">
        <v>697</v>
      </c>
      <c r="AA39" s="34">
        <f>'Tabel Kadar Emas'!B640</f>
        <v>0.87485226030843066</v>
      </c>
      <c r="AB39" s="32" t="s">
        <v>747</v>
      </c>
      <c r="AC39" s="34">
        <f>'Tabel Kadar Emas'!B690</f>
        <v>0.90283688325935618</v>
      </c>
      <c r="AD39" s="32" t="s">
        <v>797</v>
      </c>
      <c r="AE39" s="34">
        <f>'Tabel Kadar Emas'!B740</f>
        <v>0.9292554948532068</v>
      </c>
      <c r="AF39" s="32" t="s">
        <v>847</v>
      </c>
      <c r="AG39" s="34">
        <f>'Tabel Kadar Emas'!B790</f>
        <v>0.95423596754701123</v>
      </c>
      <c r="AH39" s="32" t="s">
        <v>897</v>
      </c>
      <c r="AI39" s="34">
        <f>'Tabel Kadar Emas'!B840</f>
        <v>0.97789262080818162</v>
      </c>
      <c r="AJ39" s="32"/>
      <c r="AK39" s="34"/>
    </row>
    <row r="40" spans="1:37" x14ac:dyDescent="0.25">
      <c r="A40" s="32" t="s">
        <v>96</v>
      </c>
      <c r="B40" s="33">
        <v>0.33961393770937265</v>
      </c>
      <c r="C40" s="32" t="s">
        <v>147</v>
      </c>
      <c r="D40" s="33">
        <v>0.40584522610630624</v>
      </c>
      <c r="E40" s="32" t="s">
        <v>197</v>
      </c>
      <c r="F40" s="34">
        <v>0.46650149022740367</v>
      </c>
      <c r="G40" s="32" t="s">
        <v>257</v>
      </c>
      <c r="H40" s="34">
        <v>0.52225821766666758</v>
      </c>
      <c r="I40" s="32" t="s">
        <v>305</v>
      </c>
      <c r="J40" s="34">
        <v>0.57368600664015035</v>
      </c>
      <c r="K40" s="32" t="s">
        <v>353</v>
      </c>
      <c r="L40" s="34">
        <v>0.62127016415074199</v>
      </c>
      <c r="M40" s="32" t="s">
        <v>401</v>
      </c>
      <c r="N40" s="34">
        <v>0.66542606823838013</v>
      </c>
      <c r="O40" s="32" t="s">
        <v>449</v>
      </c>
      <c r="P40" s="34">
        <v>0.70651132531018834</v>
      </c>
      <c r="Q40" s="32" t="s">
        <v>497</v>
      </c>
      <c r="R40" s="34">
        <v>0.74483547639598779</v>
      </c>
      <c r="T40" s="32" t="s">
        <v>549</v>
      </c>
      <c r="U40" s="33">
        <f>'Tabel Kadar Emas'!B491</f>
        <v>0.78066781011600062</v>
      </c>
      <c r="V40" s="32" t="s">
        <v>599</v>
      </c>
      <c r="W40" s="33">
        <f>'Tabel Kadar Emas'!B541</f>
        <v>0.81424369964709564</v>
      </c>
      <c r="X40" s="32" t="s">
        <v>648</v>
      </c>
      <c r="Y40" s="34">
        <f>'Tabel Kadar Emas'!B591</f>
        <v>0.84576977907250717</v>
      </c>
      <c r="Z40" s="32" t="s">
        <v>698</v>
      </c>
      <c r="AA40" s="34">
        <f>'Tabel Kadar Emas'!B641</f>
        <v>0.87542819976418595</v>
      </c>
      <c r="AB40" s="32" t="s">
        <v>748</v>
      </c>
      <c r="AC40" s="34">
        <f>'Tabel Kadar Emas'!B691</f>
        <v>0.90338015206163691</v>
      </c>
      <c r="AD40" s="32" t="s">
        <v>798</v>
      </c>
      <c r="AE40" s="34">
        <f>'Tabel Kadar Emas'!B741</f>
        <v>0.92976879606504692</v>
      </c>
      <c r="AF40" s="32" t="s">
        <v>848</v>
      </c>
      <c r="AG40" s="34">
        <f>'Tabel Kadar Emas'!B791</f>
        <v>0.95472171406174278</v>
      </c>
      <c r="AH40" s="32" t="s">
        <v>898</v>
      </c>
      <c r="AI40" s="34">
        <f>'Tabel Kadar Emas'!B841</f>
        <v>0.97835297326624049</v>
      </c>
      <c r="AJ40" s="32"/>
      <c r="AK40" s="34"/>
    </row>
    <row r="41" spans="1:37" x14ac:dyDescent="0.25">
      <c r="A41" s="32" t="s">
        <v>97</v>
      </c>
      <c r="B41" s="33">
        <v>0.34099816555502388</v>
      </c>
      <c r="C41" s="32" t="s">
        <v>148</v>
      </c>
      <c r="D41" s="33">
        <v>0.40711054027269533</v>
      </c>
      <c r="E41" s="32" t="s">
        <v>198</v>
      </c>
      <c r="F41" s="34">
        <v>0.46766258069956179</v>
      </c>
      <c r="G41" s="32" t="s">
        <v>258</v>
      </c>
      <c r="H41" s="34">
        <v>0.52332745079334797</v>
      </c>
      <c r="I41" s="32" t="s">
        <v>306</v>
      </c>
      <c r="J41" s="34">
        <v>0.57467386703967205</v>
      </c>
      <c r="K41" s="32" t="s">
        <v>354</v>
      </c>
      <c r="L41" s="34">
        <v>0.62218559947372387</v>
      </c>
      <c r="M41" s="32" t="s">
        <v>402</v>
      </c>
      <c r="N41" s="34">
        <v>0.66627676081821108</v>
      </c>
      <c r="O41" s="32" t="s">
        <v>450</v>
      </c>
      <c r="P41" s="34">
        <v>0.70730390817072564</v>
      </c>
      <c r="Q41" s="32" t="s">
        <v>498</v>
      </c>
      <c r="R41" s="34">
        <v>0.74557570647337357</v>
      </c>
      <c r="T41" s="32" t="s">
        <v>550</v>
      </c>
      <c r="U41" s="33">
        <f>'Tabel Kadar Emas'!B492</f>
        <v>0.78136070826512827</v>
      </c>
      <c r="V41" s="32" t="s">
        <v>600</v>
      </c>
      <c r="W41" s="33">
        <f>'Tabel Kadar Emas'!B542</f>
        <v>0.81489366463260648</v>
      </c>
      <c r="X41" s="32" t="s">
        <v>649</v>
      </c>
      <c r="Y41" s="34">
        <f>'Tabel Kadar Emas'!B592</f>
        <v>0.84638068101427122</v>
      </c>
      <c r="Z41" s="32" t="s">
        <v>699</v>
      </c>
      <c r="AA41" s="34">
        <f>'Tabel Kadar Emas'!B642</f>
        <v>0.87600345723124307</v>
      </c>
      <c r="AB41" s="32" t="s">
        <v>749</v>
      </c>
      <c r="AC41" s="34">
        <f>'Tabel Kadar Emas'!B692</f>
        <v>0.9039227960579348</v>
      </c>
      <c r="AD41" s="32" t="s">
        <v>799</v>
      </c>
      <c r="AE41" s="34">
        <f>'Tabel Kadar Emas'!B742</f>
        <v>0.93028152343539849</v>
      </c>
      <c r="AF41" s="32" t="s">
        <v>849</v>
      </c>
      <c r="AG41" s="34">
        <f>'Tabel Kadar Emas'!B792</f>
        <v>0.95520693230402764</v>
      </c>
      <c r="AH41" s="32" t="s">
        <v>899</v>
      </c>
      <c r="AI41" s="34">
        <f>'Tabel Kadar Emas'!B842</f>
        <v>0.978812838320956</v>
      </c>
      <c r="AJ41" s="32"/>
      <c r="AK41" s="34"/>
    </row>
    <row r="42" spans="1:37" x14ac:dyDescent="0.25">
      <c r="A42" s="32" t="s">
        <v>98</v>
      </c>
      <c r="B42" s="33">
        <v>0.34237985353306843</v>
      </c>
      <c r="C42" s="32" t="s">
        <v>149</v>
      </c>
      <c r="D42" s="33">
        <v>0.4083736345896698</v>
      </c>
      <c r="E42" s="32" t="s">
        <v>199</v>
      </c>
      <c r="F42" s="34">
        <v>0.46882171975916193</v>
      </c>
      <c r="G42" s="32" t="s">
        <v>259</v>
      </c>
      <c r="H42" s="34">
        <v>0.52439495935046909</v>
      </c>
      <c r="I42" s="32" t="s">
        <v>307</v>
      </c>
      <c r="J42" s="34">
        <v>0.57566019587268269</v>
      </c>
      <c r="K42" s="32" t="s">
        <v>355</v>
      </c>
      <c r="L42" s="34">
        <v>0.62309966847532827</v>
      </c>
      <c r="M42" s="32" t="s">
        <v>403</v>
      </c>
      <c r="N42" s="34">
        <v>0.66712622937994159</v>
      </c>
      <c r="O42" s="32" t="s">
        <v>451</v>
      </c>
      <c r="P42" s="34">
        <v>0.70809539022173462</v>
      </c>
      <c r="Q42" s="32" t="s">
        <v>499</v>
      </c>
      <c r="R42" s="34">
        <v>0.74631494295334022</v>
      </c>
      <c r="T42" s="32" t="s">
        <v>551</v>
      </c>
      <c r="U42" s="33">
        <f>'Tabel Kadar Emas'!B493</f>
        <v>0.78205270654652992</v>
      </c>
      <c r="V42" s="32" t="s">
        <v>601</v>
      </c>
      <c r="W42" s="33">
        <f>'Tabel Kadar Emas'!B543</f>
        <v>0.81554281205209755</v>
      </c>
      <c r="X42" s="32" t="s">
        <v>650</v>
      </c>
      <c r="Y42" s="34">
        <f>'Tabel Kadar Emas'!B593</f>
        <v>0.84699083795366703</v>
      </c>
      <c r="Z42" s="32" t="s">
        <v>700</v>
      </c>
      <c r="AA42" s="34">
        <f>'Tabel Kadar Emas'!B643</f>
        <v>0.87657803392023259</v>
      </c>
      <c r="AB42" s="32" t="s">
        <v>750</v>
      </c>
      <c r="AC42" s="34">
        <f>'Tabel Kadar Emas'!B693</f>
        <v>0.90446481632550113</v>
      </c>
      <c r="AD42" s="32" t="s">
        <v>800</v>
      </c>
      <c r="AE42" s="34">
        <f>'Tabel Kadar Emas'!B743</f>
        <v>0.9307936779260062</v>
      </c>
      <c r="AF42" s="32" t="s">
        <v>850</v>
      </c>
      <c r="AG42" s="34">
        <f>'Tabel Kadar Emas'!B793</f>
        <v>0.95569162313517941</v>
      </c>
      <c r="AH42" s="32" t="s">
        <v>900</v>
      </c>
      <c r="AI42" s="34">
        <f>'Tabel Kadar Emas'!B843</f>
        <v>0.97927221674598375</v>
      </c>
      <c r="AJ42" s="32"/>
      <c r="AK42" s="34"/>
    </row>
    <row r="43" spans="1:37" x14ac:dyDescent="0.25">
      <c r="A43" s="32" t="s">
        <v>99</v>
      </c>
      <c r="B43" s="33">
        <v>0.34375900862756009</v>
      </c>
      <c r="C43" s="32" t="s">
        <v>150</v>
      </c>
      <c r="D43" s="33">
        <v>0.40963451489381858</v>
      </c>
      <c r="E43" s="32" t="s">
        <v>200</v>
      </c>
      <c r="F43" s="34">
        <v>0.46997891232160044</v>
      </c>
      <c r="G43" s="32" t="s">
        <v>260</v>
      </c>
      <c r="H43" s="34">
        <v>0.52546074750701466</v>
      </c>
      <c r="I43" s="32" t="s">
        <v>308</v>
      </c>
      <c r="J43" s="34">
        <v>0.57664499669820624</v>
      </c>
      <c r="K43" s="32" t="s">
        <v>356</v>
      </c>
      <c r="L43" s="34">
        <v>0.62401237421220246</v>
      </c>
      <c r="M43" s="32" t="s">
        <v>404</v>
      </c>
      <c r="N43" s="34">
        <v>0.66797447656343811</v>
      </c>
      <c r="O43" s="32" t="s">
        <v>452</v>
      </c>
      <c r="P43" s="34">
        <v>0.70888577375497674</v>
      </c>
      <c r="Q43" s="32" t="s">
        <v>500</v>
      </c>
      <c r="R43" s="34">
        <v>0.74705318783507735</v>
      </c>
      <c r="T43" s="32" t="s">
        <v>552</v>
      </c>
      <c r="U43" s="33">
        <f>'Tabel Kadar Emas'!B494</f>
        <v>0.78274380671205679</v>
      </c>
      <c r="V43" s="32" t="s">
        <v>511</v>
      </c>
      <c r="W43" s="33">
        <f>'Tabel Kadar Emas'!B544</f>
        <v>0.81619114344717703</v>
      </c>
      <c r="X43" s="32" t="s">
        <v>651</v>
      </c>
      <c r="Y43" s="34">
        <f>'Tabel Kadar Emas'!B594</f>
        <v>0.8476002512526738</v>
      </c>
      <c r="Z43" s="32" t="s">
        <v>701</v>
      </c>
      <c r="AA43" s="34">
        <f>'Tabel Kadar Emas'!B644</f>
        <v>0.87715193103892186</v>
      </c>
      <c r="AB43" s="32" t="s">
        <v>751</v>
      </c>
      <c r="AC43" s="34">
        <f>'Tabel Kadar Emas'!B694</f>
        <v>0.90500621393911296</v>
      </c>
      <c r="AD43" s="32" t="s">
        <v>801</v>
      </c>
      <c r="AE43" s="34">
        <f>'Tabel Kadar Emas'!B744</f>
        <v>0.93130526049646845</v>
      </c>
      <c r="AF43" s="32" t="s">
        <v>851</v>
      </c>
      <c r="AG43" s="34">
        <f>'Tabel Kadar Emas'!B794</f>
        <v>0.95617578741464082</v>
      </c>
      <c r="AH43" s="32" t="s">
        <v>901</v>
      </c>
      <c r="AI43" s="34">
        <f>'Tabel Kadar Emas'!B844</f>
        <v>0.97973110931334373</v>
      </c>
      <c r="AJ43" s="32"/>
      <c r="AK43" s="34"/>
    </row>
    <row r="44" spans="1:37" x14ac:dyDescent="0.25">
      <c r="A44" s="32" t="s">
        <v>100</v>
      </c>
      <c r="B44" s="33">
        <v>0.34513563779697043</v>
      </c>
      <c r="C44" s="32" t="s">
        <v>151</v>
      </c>
      <c r="D44" s="33">
        <v>0.4108931870012878</v>
      </c>
      <c r="E44" s="32" t="s">
        <v>201</v>
      </c>
      <c r="F44" s="34">
        <v>0.47113416328577989</v>
      </c>
      <c r="G44" s="32" t="s">
        <v>261</v>
      </c>
      <c r="H44" s="34">
        <v>0.52652481941854179</v>
      </c>
      <c r="I44" s="32" t="s">
        <v>309</v>
      </c>
      <c r="J44" s="34">
        <v>0.57762827306424747</v>
      </c>
      <c r="K44" s="32" t="s">
        <v>357</v>
      </c>
      <c r="L44" s="34">
        <v>0.62492371973188299</v>
      </c>
      <c r="M44" s="32" t="s">
        <v>405</v>
      </c>
      <c r="N44" s="34">
        <v>0.66882150500098136</v>
      </c>
      <c r="O44" s="32" t="s">
        <v>453</v>
      </c>
      <c r="P44" s="34">
        <v>0.70967506105585654</v>
      </c>
      <c r="Q44" s="32" t="s">
        <v>501</v>
      </c>
      <c r="R44" s="34">
        <v>0.7477904431124156</v>
      </c>
      <c r="T44" s="32" t="s">
        <v>553</v>
      </c>
      <c r="U44" s="33">
        <f>'Tabel Kadar Emas'!B495</f>
        <v>0.78343401050901618</v>
      </c>
      <c r="V44" s="32" t="s">
        <v>602</v>
      </c>
      <c r="W44" s="33">
        <f>'Tabel Kadar Emas'!B545</f>
        <v>0.81683866035557939</v>
      </c>
      <c r="X44" s="32" t="s">
        <v>652</v>
      </c>
      <c r="Y44" s="34">
        <f>'Tabel Kadar Emas'!B595</f>
        <v>0.84820892226995215</v>
      </c>
      <c r="Z44" s="32" t="s">
        <v>702</v>
      </c>
      <c r="AA44" s="34">
        <f>'Tabel Kadar Emas'!B645</f>
        <v>0.87772514979222249</v>
      </c>
      <c r="AB44" s="32" t="s">
        <v>752</v>
      </c>
      <c r="AC44" s="34">
        <f>'Tabel Kadar Emas'!B695</f>
        <v>0.90554698997107896</v>
      </c>
      <c r="AD44" s="32" t="s">
        <v>802</v>
      </c>
      <c r="AE44" s="34">
        <f>'Tabel Kadar Emas'!B745</f>
        <v>0.93181627210424023</v>
      </c>
      <c r="AF44" s="32" t="s">
        <v>852</v>
      </c>
      <c r="AG44" s="34">
        <f>'Tabel Kadar Emas'!B795</f>
        <v>0.95665942599998788</v>
      </c>
      <c r="AH44" s="32" t="s">
        <v>902</v>
      </c>
      <c r="AI44" s="34">
        <f>'Tabel Kadar Emas'!B845</f>
        <v>0.98018951679342325</v>
      </c>
      <c r="AJ44" s="32"/>
      <c r="AK44" s="34"/>
    </row>
    <row r="45" spans="1:37" x14ac:dyDescent="0.25">
      <c r="A45" s="32" t="s">
        <v>101</v>
      </c>
      <c r="B45" s="33">
        <v>0.34650974797430473</v>
      </c>
      <c r="C45" s="32" t="s">
        <v>152</v>
      </c>
      <c r="D45" s="33">
        <v>0.41214965670786885</v>
      </c>
      <c r="E45" s="32" t="s">
        <v>202</v>
      </c>
      <c r="F45" s="34">
        <v>0.47228747753417705</v>
      </c>
      <c r="G45" s="32" t="s">
        <v>262</v>
      </c>
      <c r="H45" s="34">
        <v>0.52758717922723442</v>
      </c>
      <c r="I45" s="32" t="s">
        <v>310</v>
      </c>
      <c r="J45" s="34">
        <v>0.57861002850783561</v>
      </c>
      <c r="K45" s="32" t="s">
        <v>358</v>
      </c>
      <c r="L45" s="34">
        <v>0.6258337080728299</v>
      </c>
      <c r="M45" s="32" t="s">
        <v>406</v>
      </c>
      <c r="N45" s="34">
        <v>0.66966731731729334</v>
      </c>
      <c r="O45" s="32" t="s">
        <v>454</v>
      </c>
      <c r="P45" s="34">
        <v>0.71046325440344338</v>
      </c>
      <c r="Q45" s="32" t="s">
        <v>502</v>
      </c>
      <c r="R45" s="34">
        <v>0.74852671077384292</v>
      </c>
      <c r="T45" s="32" t="s">
        <v>554</v>
      </c>
      <c r="U45" s="33">
        <f>'Tabel Kadar Emas'!B496</f>
        <v>0.78412331968018589</v>
      </c>
      <c r="V45" s="32" t="s">
        <v>603</v>
      </c>
      <c r="W45" s="33">
        <f>'Tabel Kadar Emas'!B546</f>
        <v>0.81748536431117746</v>
      </c>
      <c r="X45" s="32" t="s">
        <v>653</v>
      </c>
      <c r="Y45" s="34">
        <f>'Tabel Kadar Emas'!B596</f>
        <v>0.84881685236085502</v>
      </c>
      <c r="Z45" s="32" t="s">
        <v>703</v>
      </c>
      <c r="AA45" s="34">
        <f>'Tabel Kadar Emas'!B646</f>
        <v>0.87829769138219949</v>
      </c>
      <c r="AB45" s="32" t="s">
        <v>753</v>
      </c>
      <c r="AC45" s="34">
        <f>'Tabel Kadar Emas'!B696</f>
        <v>0.90608714549124669</v>
      </c>
      <c r="AD45" s="32" t="s">
        <v>803</v>
      </c>
      <c r="AE45" s="34">
        <f>'Tabel Kadar Emas'!B746</f>
        <v>0.93232671370464126</v>
      </c>
      <c r="AF45" s="32" t="s">
        <v>853</v>
      </c>
      <c r="AG45" s="34">
        <f>'Tabel Kadar Emas'!B796</f>
        <v>0.95714253974693486</v>
      </c>
      <c r="AH45" s="32" t="s">
        <v>903</v>
      </c>
      <c r="AI45" s="34">
        <f>'Tabel Kadar Emas'!B846</f>
        <v>0.98064743995498149</v>
      </c>
      <c r="AJ45" s="32"/>
      <c r="AK45" s="34"/>
    </row>
    <row r="46" spans="1:37" x14ac:dyDescent="0.25">
      <c r="A46" s="32" t="s">
        <v>102</v>
      </c>
      <c r="B46" s="33">
        <v>0.3478813460672201</v>
      </c>
      <c r="C46" s="32" t="s">
        <v>153</v>
      </c>
      <c r="D46" s="33">
        <v>0.41340392978908885</v>
      </c>
      <c r="E46" s="32" t="s">
        <v>203</v>
      </c>
      <c r="F46" s="34">
        <v>0.47343885993291185</v>
      </c>
      <c r="G46" s="32" t="s">
        <v>263</v>
      </c>
      <c r="H46" s="34">
        <v>0.52864783106195812</v>
      </c>
      <c r="I46" s="32" t="s">
        <v>311</v>
      </c>
      <c r="J46" s="34">
        <v>0.57959026655506574</v>
      </c>
      <c r="K46" s="32" t="s">
        <v>359</v>
      </c>
      <c r="L46" s="34">
        <v>0.62674234226445991</v>
      </c>
      <c r="M46" s="32" t="s">
        <v>407</v>
      </c>
      <c r="N46" s="34">
        <v>0.67051191612956473</v>
      </c>
      <c r="O46" s="32" t="s">
        <v>455</v>
      </c>
      <c r="P46" s="34">
        <v>0.71125035607049314</v>
      </c>
      <c r="Q46" s="32" t="s">
        <v>503</v>
      </c>
      <c r="R46" s="34">
        <v>0.74926199280252426</v>
      </c>
      <c r="T46" s="32" t="s">
        <v>555</v>
      </c>
      <c r="U46" s="33">
        <f>'Tabel Kadar Emas'!B497</f>
        <v>0.78481173596382781</v>
      </c>
      <c r="V46" s="32" t="s">
        <v>604</v>
      </c>
      <c r="W46" s="33">
        <f>'Tabel Kadar Emas'!B547</f>
        <v>0.81813125684399579</v>
      </c>
      <c r="X46" s="32" t="s">
        <v>654</v>
      </c>
      <c r="Y46" s="34">
        <f>'Tabel Kadar Emas'!B597</f>
        <v>0.84942404287743833</v>
      </c>
      <c r="Z46" s="32" t="s">
        <v>704</v>
      </c>
      <c r="AA46" s="34">
        <f>'Tabel Kadar Emas'!B647</f>
        <v>0.87886955700808</v>
      </c>
      <c r="AB46" s="32" t="s">
        <v>754</v>
      </c>
      <c r="AC46" s="34">
        <f>'Tabel Kadar Emas'!B697</f>
        <v>0.90662668156701065</v>
      </c>
      <c r="AD46" s="32" t="s">
        <v>804</v>
      </c>
      <c r="AE46" s="34">
        <f>'Tabel Kadar Emas'!B747</f>
        <v>0.93283658625086163</v>
      </c>
      <c r="AF46" s="32" t="s">
        <v>854</v>
      </c>
      <c r="AG46" s="34">
        <f>'Tabel Kadar Emas'!B797</f>
        <v>0.95762512950934098</v>
      </c>
      <c r="AH46" s="32" t="s">
        <v>904</v>
      </c>
      <c r="AI46" s="34">
        <f>'Tabel Kadar Emas'!B847</f>
        <v>0.98110487956515513</v>
      </c>
      <c r="AJ46" s="32"/>
      <c r="AK46" s="34"/>
    </row>
    <row r="47" spans="1:37" x14ac:dyDescent="0.25">
      <c r="A47" s="32" t="s">
        <v>103</v>
      </c>
      <c r="B47" s="33">
        <v>0.34925043895813901</v>
      </c>
      <c r="C47" s="32" t="s">
        <v>154</v>
      </c>
      <c r="D47" s="33">
        <v>0.414656012000298</v>
      </c>
      <c r="E47" s="32" t="s">
        <v>204</v>
      </c>
      <c r="F47" s="34">
        <v>0.47458831533181611</v>
      </c>
      <c r="G47" s="32" t="s">
        <v>264</v>
      </c>
      <c r="H47" s="34">
        <v>0.52970677903831287</v>
      </c>
      <c r="I47" s="32" t="s">
        <v>312</v>
      </c>
      <c r="J47" s="34">
        <v>0.58056899072114176</v>
      </c>
      <c r="K47" s="32" t="s">
        <v>360</v>
      </c>
      <c r="L47" s="34">
        <v>0.62764962532718038</v>
      </c>
      <c r="M47" s="32" t="s">
        <v>408</v>
      </c>
      <c r="N47" s="34">
        <v>0.67135530404748134</v>
      </c>
      <c r="O47" s="32" t="s">
        <v>456</v>
      </c>
      <c r="P47" s="34">
        <v>0.71203636832347106</v>
      </c>
      <c r="Q47" s="32" t="s">
        <v>504</v>
      </c>
      <c r="R47" s="34">
        <v>0.74999629117631761</v>
      </c>
      <c r="T47" s="32" t="s">
        <v>556</v>
      </c>
      <c r="U47" s="33">
        <f>'Tabel Kadar Emas'!B498</f>
        <v>0.7854992610937046</v>
      </c>
      <c r="V47" s="32" t="s">
        <v>605</v>
      </c>
      <c r="W47" s="33">
        <f>'Tabel Kadar Emas'!B548</f>
        <v>0.8187763394802211</v>
      </c>
      <c r="X47" s="32" t="s">
        <v>655</v>
      </c>
      <c r="Y47" s="34">
        <f>'Tabel Kadar Emas'!B598</f>
        <v>0.85003049516846929</v>
      </c>
      <c r="Z47" s="32" t="s">
        <v>705</v>
      </c>
      <c r="AA47" s="34">
        <f>'Tabel Kadar Emas'!B648</f>
        <v>0.87944074786626025</v>
      </c>
      <c r="AB47" s="32" t="s">
        <v>755</v>
      </c>
      <c r="AC47" s="34">
        <f>'Tabel Kadar Emas'!B698</f>
        <v>0.90716559926331808</v>
      </c>
      <c r="AD47" s="32" t="s">
        <v>805</v>
      </c>
      <c r="AE47" s="34">
        <f>'Tabel Kadar Emas'!B748</f>
        <v>0.93334589069396601</v>
      </c>
      <c r="AF47" s="32" t="s">
        <v>855</v>
      </c>
      <c r="AG47" s="34">
        <f>'Tabel Kadar Emas'!B798</f>
        <v>0.95810719613921302</v>
      </c>
      <c r="AH47" s="32" t="s">
        <v>905</v>
      </c>
      <c r="AI47" s="34">
        <f>'Tabel Kadar Emas'!B848</f>
        <v>0.98156183638946026</v>
      </c>
      <c r="AJ47" s="32"/>
      <c r="AK47" s="34"/>
    </row>
    <row r="48" spans="1:37" x14ac:dyDescent="0.25">
      <c r="A48" s="32" t="s">
        <v>104</v>
      </c>
      <c r="B48" s="33">
        <v>0.35061703350436674</v>
      </c>
      <c r="C48" s="32" t="s">
        <v>155</v>
      </c>
      <c r="D48" s="33">
        <v>0.41590590907675828</v>
      </c>
      <c r="E48" s="32" t="s">
        <v>205</v>
      </c>
      <c r="F48" s="34">
        <v>0.47573584856450174</v>
      </c>
      <c r="G48" s="32" t="s">
        <v>265</v>
      </c>
      <c r="H48" s="34">
        <v>0.53076402725868632</v>
      </c>
      <c r="I48" s="32" t="s">
        <v>313</v>
      </c>
      <c r="J48" s="34">
        <v>0.58154620451041839</v>
      </c>
      <c r="K48" s="32" t="s">
        <v>361</v>
      </c>
      <c r="L48" s="34">
        <v>0.62855556027242288</v>
      </c>
      <c r="M48" s="32" t="s">
        <v>409</v>
      </c>
      <c r="N48" s="34">
        <v>0.67219748367325238</v>
      </c>
      <c r="O48" s="32" t="s">
        <v>457</v>
      </c>
      <c r="P48" s="34">
        <v>0.71282129342257228</v>
      </c>
      <c r="Q48" s="32" t="s">
        <v>505</v>
      </c>
      <c r="R48" s="34">
        <v>0.75072960786779319</v>
      </c>
      <c r="T48" s="32" t="s">
        <v>557</v>
      </c>
      <c r="U48" s="33">
        <f>'Tabel Kadar Emas'!B499</f>
        <v>0.78618589679909279</v>
      </c>
      <c r="V48" s="32" t="s">
        <v>606</v>
      </c>
      <c r="W48" s="33">
        <f>'Tabel Kadar Emas'!B549</f>
        <v>0.81942061374221586</v>
      </c>
      <c r="X48" s="32" t="s">
        <v>656</v>
      </c>
      <c r="Y48" s="34">
        <f>'Tabel Kadar Emas'!B599</f>
        <v>0.85063621057943839</v>
      </c>
      <c r="Z48" s="32" t="s">
        <v>706</v>
      </c>
      <c r="AA48" s="34">
        <f>'Tabel Kadar Emas'!B649</f>
        <v>0.88001126515031536</v>
      </c>
      <c r="AB48" s="32" t="s">
        <v>756</v>
      </c>
      <c r="AC48" s="34">
        <f>'Tabel Kadar Emas'!B699</f>
        <v>0.90770389964267684</v>
      </c>
      <c r="AD48" s="32" t="s">
        <v>806</v>
      </c>
      <c r="AE48" s="34">
        <f>'Tabel Kadar Emas'!B749</f>
        <v>0.93385462798290253</v>
      </c>
      <c r="AF48" s="32" t="s">
        <v>856</v>
      </c>
      <c r="AG48" s="34">
        <f>'Tabel Kadar Emas'!B799</f>
        <v>0.95858874048671272</v>
      </c>
      <c r="AH48" s="32" t="s">
        <v>906</v>
      </c>
      <c r="AI48" s="34">
        <f>'Tabel Kadar Emas'!B849</f>
        <v>0.98201831119179905</v>
      </c>
      <c r="AJ48" s="32"/>
      <c r="AK48" s="34"/>
    </row>
    <row r="49" spans="1:37" x14ac:dyDescent="0.25">
      <c r="A49" s="32" t="s">
        <v>105</v>
      </c>
      <c r="B49" s="33">
        <v>0.35198113653820384</v>
      </c>
      <c r="C49" s="32" t="s">
        <v>156</v>
      </c>
      <c r="D49" s="33">
        <v>0.41715362673373019</v>
      </c>
      <c r="E49" s="32" t="s">
        <v>206</v>
      </c>
      <c r="F49" s="34">
        <v>0.47688146444842749</v>
      </c>
      <c r="G49" s="32" t="s">
        <v>266</v>
      </c>
      <c r="H49" s="34">
        <v>0.53181957981230688</v>
      </c>
      <c r="I49" s="32" t="s">
        <v>314</v>
      </c>
      <c r="J49" s="34">
        <v>0.58252191141644249</v>
      </c>
      <c r="K49" s="32" t="s">
        <v>362</v>
      </c>
      <c r="L49" s="34">
        <v>0.62946015010267631</v>
      </c>
      <c r="M49" s="32" t="s">
        <v>410</v>
      </c>
      <c r="N49" s="34">
        <v>0.67303845760163494</v>
      </c>
      <c r="O49" s="32" t="s">
        <v>458</v>
      </c>
      <c r="P49" s="34">
        <v>0.7136051336217436</v>
      </c>
      <c r="Q49" s="32" t="s">
        <v>506</v>
      </c>
      <c r="R49" s="34">
        <v>0.75146194484424989</v>
      </c>
      <c r="T49" s="32" t="s">
        <v>558</v>
      </c>
      <c r="U49" s="33">
        <f>'Tabel Kadar Emas'!B500</f>
        <v>0.78687164480479721</v>
      </c>
      <c r="V49" s="32" t="s">
        <v>607</v>
      </c>
      <c r="W49" s="33">
        <f>'Tabel Kadar Emas'!B550</f>
        <v>0.82006408114852858</v>
      </c>
      <c r="X49" s="32" t="s">
        <v>657</v>
      </c>
      <c r="Y49" s="34">
        <f>'Tabel Kadar Emas'!B600</f>
        <v>0.85124119045256774</v>
      </c>
      <c r="Z49" s="32" t="s">
        <v>707</v>
      </c>
      <c r="AA49" s="34">
        <f>'Tabel Kadar Emas'!B650</f>
        <v>0.88058111005100648</v>
      </c>
      <c r="AB49" s="32" t="s">
        <v>757</v>
      </c>
      <c r="AC49" s="34">
        <f>'Tabel Kadar Emas'!B700</f>
        <v>0.90824158376516151</v>
      </c>
      <c r="AD49" s="32" t="s">
        <v>807</v>
      </c>
      <c r="AE49" s="34">
        <f>'Tabel Kadar Emas'!B750</f>
        <v>0.93436279906450537</v>
      </c>
      <c r="AF49" s="32" t="s">
        <v>857</v>
      </c>
      <c r="AG49" s="34">
        <f>'Tabel Kadar Emas'!B800</f>
        <v>0.95906976340015992</v>
      </c>
      <c r="AH49" s="32" t="s">
        <v>907</v>
      </c>
      <c r="AI49" s="34">
        <f>'Tabel Kadar Emas'!B850</f>
        <v>0.98247430473446196</v>
      </c>
      <c r="AJ49" s="32"/>
      <c r="AK49" s="34"/>
    </row>
    <row r="50" spans="1:37" x14ac:dyDescent="0.25">
      <c r="A50" s="32" t="s">
        <v>106</v>
      </c>
      <c r="B50" s="33">
        <v>0.35334275486706118</v>
      </c>
      <c r="C50" s="32" t="s">
        <v>157</v>
      </c>
      <c r="D50" s="33">
        <v>0.41839917066656124</v>
      </c>
      <c r="E50" s="32" t="s">
        <v>207</v>
      </c>
      <c r="F50" s="34">
        <v>0.47802516778496762</v>
      </c>
      <c r="G50" s="32" t="s">
        <v>267</v>
      </c>
      <c r="H50" s="34">
        <v>0.53287344077529686</v>
      </c>
      <c r="I50" s="32" t="s">
        <v>315</v>
      </c>
      <c r="J50" s="34">
        <v>0.58349611492199494</v>
      </c>
      <c r="K50" s="32" t="s">
        <v>363</v>
      </c>
      <c r="L50" s="34">
        <v>0.63036339781151962</v>
      </c>
      <c r="M50" s="32" t="s">
        <v>411</v>
      </c>
      <c r="N50" s="34">
        <v>0.67387822841996248</v>
      </c>
      <c r="O50" s="32" t="s">
        <v>459</v>
      </c>
      <c r="P50" s="34">
        <v>0.71438789116870605</v>
      </c>
      <c r="Q50" s="32" t="s">
        <v>507</v>
      </c>
      <c r="R50" s="34">
        <v>0.7521933040677341</v>
      </c>
      <c r="T50" s="32" t="s">
        <v>559</v>
      </c>
      <c r="U50" s="33">
        <f>'Tabel Kadar Emas'!B501</f>
        <v>0.78755650683116585</v>
      </c>
      <c r="V50" s="32" t="s">
        <v>608</v>
      </c>
      <c r="W50" s="33">
        <f>'Tabel Kadar Emas'!B551</f>
        <v>0.82070674321390713</v>
      </c>
      <c r="X50" s="32" t="s">
        <v>658</v>
      </c>
      <c r="Y50" s="34">
        <f>'Tabel Kadar Emas'!B601</f>
        <v>0.85184543612682206</v>
      </c>
      <c r="Z50" s="32" t="s">
        <v>708</v>
      </c>
      <c r="AA50" s="34">
        <f>'Tabel Kadar Emas'!B651</f>
        <v>0.8811502837562909</v>
      </c>
      <c r="AB50" s="32" t="s">
        <v>758</v>
      </c>
      <c r="AC50" s="34">
        <f>'Tabel Kadar Emas'!B701</f>
        <v>0.90877865268842162</v>
      </c>
      <c r="AD50" s="32" t="s">
        <v>808</v>
      </c>
      <c r="AE50" s="34">
        <f>'Tabel Kadar Emas'!B751</f>
        <v>0.93487040488350392</v>
      </c>
      <c r="AF50" s="32" t="s">
        <v>858</v>
      </c>
      <c r="AG50" s="34">
        <f>'Tabel Kadar Emas'!B801</f>
        <v>0.95955026572603841</v>
      </c>
      <c r="AH50" s="32" t="s">
        <v>908</v>
      </c>
      <c r="AI50" s="34">
        <f>'Tabel Kadar Emas'!B851</f>
        <v>0.98292981777813382</v>
      </c>
      <c r="AJ50" s="32"/>
      <c r="AK50" s="34"/>
    </row>
    <row r="51" spans="1:37" ht="16.5" thickBot="1" x14ac:dyDescent="0.3">
      <c r="A51" s="35" t="s">
        <v>107</v>
      </c>
      <c r="B51" s="36">
        <v>0.35470189527357304</v>
      </c>
      <c r="C51" s="35" t="s">
        <v>158</v>
      </c>
      <c r="D51" s="36">
        <v>0.41964254655077093</v>
      </c>
      <c r="E51" s="35" t="s">
        <v>208</v>
      </c>
      <c r="F51" s="37">
        <v>0.47916696335947867</v>
      </c>
      <c r="G51" s="35" t="s">
        <v>268</v>
      </c>
      <c r="H51" s="37">
        <v>0.53392561421072371</v>
      </c>
      <c r="I51" s="35" t="s">
        <v>316</v>
      </c>
      <c r="J51" s="37">
        <v>0.58446881849913235</v>
      </c>
      <c r="K51" s="35" t="s">
        <v>364</v>
      </c>
      <c r="L51" s="37">
        <v>0.63126530638365597</v>
      </c>
      <c r="M51" s="35" t="s">
        <v>412</v>
      </c>
      <c r="N51" s="37">
        <v>0.67471679870817081</v>
      </c>
      <c r="O51" s="35" t="s">
        <v>460</v>
      </c>
      <c r="P51" s="37">
        <v>0.71516956830497591</v>
      </c>
      <c r="Q51" s="35" t="s">
        <v>508</v>
      </c>
      <c r="R51" s="37">
        <v>0.75292368749505612</v>
      </c>
      <c r="T51" s="35" t="s">
        <v>560</v>
      </c>
      <c r="U51" s="36">
        <f>'Tabel Kadar Emas'!B502</f>
        <v>0.78824048459410467</v>
      </c>
      <c r="V51" s="35" t="s">
        <v>609</v>
      </c>
      <c r="W51" s="36">
        <f>'Tabel Kadar Emas'!B552</f>
        <v>0.82134860144931043</v>
      </c>
      <c r="X51" s="35" t="s">
        <v>659</v>
      </c>
      <c r="Y51" s="37">
        <f>'Tabel Kadar Emas'!B602</f>
        <v>0.85244894893791756</v>
      </c>
      <c r="Z51" s="35" t="s">
        <v>709</v>
      </c>
      <c r="AA51" s="37">
        <f>'Tabel Kadar Emas'!B652</f>
        <v>0.88171878745132737</v>
      </c>
      <c r="AB51" s="35" t="s">
        <v>759</v>
      </c>
      <c r="AC51" s="37">
        <f>'Tabel Kadar Emas'!B702</f>
        <v>0.90931510746768685</v>
      </c>
      <c r="AD51" s="35" t="s">
        <v>809</v>
      </c>
      <c r="AE51" s="37">
        <f>'Tabel Kadar Emas'!B752</f>
        <v>0.93537744638252551</v>
      </c>
      <c r="AF51" s="35" t="s">
        <v>859</v>
      </c>
      <c r="AG51" s="37">
        <f>'Tabel Kadar Emas'!B802</f>
        <v>0.96003024830900074</v>
      </c>
      <c r="AH51" s="35" t="s">
        <v>909</v>
      </c>
      <c r="AI51" s="37">
        <f>'Tabel Kadar Emas'!B852</f>
        <v>0.98338485108189644</v>
      </c>
      <c r="AJ51" s="35"/>
      <c r="AK51" s="37"/>
    </row>
  </sheetData>
  <phoneticPr fontId="20" type="noConversion"/>
  <pageMargins left="0.3" right="0" top="0" bottom="0" header="0" footer="0"/>
  <pageSetup paperSize="9" scale="74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Ringkasan</vt:lpstr>
      <vt:lpstr>Konstanta</vt:lpstr>
      <vt:lpstr>Tabel Kadar Emas</vt:lpstr>
      <vt:lpstr>Kalkulator</vt:lpstr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Leonardo otto</cp:lastModifiedBy>
  <cp:revision>0</cp:revision>
  <cp:lastPrinted>2026-06-18T04:12:12Z</cp:lastPrinted>
  <dcterms:created xsi:type="dcterms:W3CDTF">2026-06-18T03:27:33Z</dcterms:created>
  <dcterms:modified xsi:type="dcterms:W3CDTF">2026-06-18T04:12:18Z</dcterms:modified>
  <dc:language>en-US</dc:language>
</cp:coreProperties>
</file>